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finxis\Engagements\ICMA\Primary Markets\BDT Data Pack\1.2 Final\"/>
    </mc:Choice>
  </mc:AlternateContent>
  <xr:revisionPtr revIDLastSave="0" documentId="8_{ED1BB542-B791-4CEE-A8A3-747FE6F93F3D}" xr6:coauthVersionLast="47" xr6:coauthVersionMax="47" xr10:uidLastSave="{00000000-0000-0000-0000-000000000000}"/>
  <bookViews>
    <workbookView xWindow="-120" yWindow="-120" windowWidth="29040" windowHeight="15840" xr2:uid="{BA612D58-46A8-435E-9244-03CC2D005024}"/>
  </bookViews>
  <sheets>
    <sheet name="BDT Reference Sheet" sheetId="4" r:id="rId1"/>
    <sheet name="Enumerations" sheetId="5" r:id="rId2"/>
  </sheets>
  <definedNames>
    <definedName name="_xlnm._FilterDatabase" localSheetId="0" hidden="1">'BDT Reference Sheet'!$A$10:$O$161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4" l="1"/>
  <c r="M135" i="4"/>
  <c r="M140" i="4"/>
  <c r="M137" i="4"/>
  <c r="M132" i="4"/>
  <c r="M57" i="4"/>
  <c r="M58" i="4"/>
  <c r="M45" i="4" l="1"/>
  <c r="M126" i="4"/>
  <c r="M42" i="4"/>
  <c r="M44" i="4"/>
  <c r="M91" i="4"/>
  <c r="M22" i="4"/>
  <c r="M20" i="4"/>
  <c r="M90" i="4"/>
  <c r="M130" i="4" l="1"/>
  <c r="M128" i="4"/>
  <c r="M127" i="4"/>
  <c r="M125" i="4"/>
  <c r="M124" i="4"/>
  <c r="M123" i="4"/>
  <c r="M122" i="4"/>
  <c r="M121" i="4"/>
  <c r="M120" i="4"/>
  <c r="M119" i="4"/>
  <c r="M118" i="4"/>
  <c r="M117" i="4"/>
  <c r="M116" i="4"/>
  <c r="M115" i="4"/>
  <c r="M114" i="4"/>
  <c r="M113" i="4"/>
  <c r="M112" i="4"/>
  <c r="M111" i="4"/>
  <c r="M110" i="4"/>
  <c r="M109" i="4"/>
  <c r="M108" i="4"/>
  <c r="M107" i="4"/>
  <c r="M106" i="4"/>
  <c r="M102" i="4"/>
  <c r="M101" i="4"/>
  <c r="M100" i="4"/>
  <c r="M99" i="4"/>
  <c r="M98" i="4"/>
  <c r="M97" i="4"/>
  <c r="M96" i="4"/>
  <c r="M95" i="4"/>
  <c r="M94" i="4"/>
  <c r="M93" i="4"/>
  <c r="M92" i="4"/>
  <c r="M89" i="4"/>
  <c r="M88" i="4"/>
  <c r="M87" i="4"/>
  <c r="M86" i="4"/>
  <c r="M85" i="4"/>
  <c r="M84" i="4"/>
  <c r="M83" i="4"/>
  <c r="M82" i="4"/>
  <c r="M81" i="4"/>
  <c r="M80" i="4"/>
  <c r="M79" i="4"/>
  <c r="M78" i="4"/>
  <c r="M77" i="4"/>
  <c r="M76" i="4"/>
  <c r="M75" i="4"/>
  <c r="M74" i="4"/>
  <c r="M72" i="4"/>
  <c r="M71" i="4"/>
  <c r="M70" i="4"/>
  <c r="M68" i="4"/>
  <c r="M67" i="4"/>
  <c r="B67" i="4"/>
  <c r="M66" i="4"/>
  <c r="M65" i="4"/>
  <c r="M64" i="4"/>
  <c r="M63" i="4"/>
  <c r="M62" i="4"/>
  <c r="M61" i="4"/>
  <c r="M60" i="4"/>
  <c r="M59" i="4"/>
  <c r="M56" i="4"/>
  <c r="M55" i="4"/>
  <c r="M54" i="4"/>
  <c r="M53" i="4"/>
  <c r="M52" i="4"/>
  <c r="M51" i="4"/>
  <c r="M50" i="4"/>
  <c r="M49" i="4"/>
  <c r="M48" i="4"/>
  <c r="M47" i="4"/>
  <c r="M46" i="4"/>
  <c r="M43" i="4"/>
  <c r="M41" i="4"/>
  <c r="M40" i="4"/>
  <c r="M39" i="4"/>
  <c r="M38" i="4"/>
  <c r="M37" i="4"/>
  <c r="M36" i="4"/>
  <c r="M35" i="4"/>
  <c r="M34" i="4"/>
  <c r="M33" i="4"/>
  <c r="M32" i="4"/>
  <c r="M31" i="4"/>
  <c r="M30" i="4"/>
  <c r="M29" i="4"/>
  <c r="M28" i="4"/>
  <c r="M27" i="4"/>
  <c r="M26" i="4"/>
  <c r="M25" i="4"/>
  <c r="M24" i="4"/>
  <c r="M23" i="4"/>
  <c r="M21" i="4"/>
  <c r="M19" i="4"/>
  <c r="M18" i="4"/>
  <c r="M17" i="4"/>
  <c r="M16" i="4"/>
  <c r="M15" i="4"/>
  <c r="M14" i="4"/>
</calcChain>
</file>

<file path=xl/sharedStrings.xml><?xml version="1.0" encoding="utf-8"?>
<sst xmlns="http://schemas.openxmlformats.org/spreadsheetml/2006/main" count="1896" uniqueCount="685">
  <si>
    <t>Currency</t>
  </si>
  <si>
    <t>Settlement</t>
  </si>
  <si>
    <t>Cash Token Manager</t>
  </si>
  <si>
    <t>ICMA Bond Data Taxonomy (BDT) Working Group</t>
  </si>
  <si>
    <t>Please read our legal disclaimer</t>
  </si>
  <si>
    <t>ICMA Bond Data Taxonomy</t>
  </si>
  <si>
    <t>Key bond data fields with reference to ICMA Bond Data Taxonomy</t>
  </si>
  <si>
    <t>XML Business Model Components</t>
  </si>
  <si>
    <t xml:space="preserve">XML Field Definitions </t>
  </si>
  <si>
    <t>ISO Definitions</t>
  </si>
  <si>
    <t>Example input</t>
  </si>
  <si>
    <t>Data type</t>
  </si>
  <si>
    <t>Key Fields Parent Group</t>
  </si>
  <si>
    <t>Parent</t>
  </si>
  <si>
    <t>xs: name</t>
  </si>
  <si>
    <t>xs: type</t>
  </si>
  <si>
    <t>base type</t>
  </si>
  <si>
    <t>xs: pattern</t>
  </si>
  <si>
    <t>xs: annotation</t>
  </si>
  <si>
    <t>xs: min/max occurs</t>
  </si>
  <si>
    <t>ISO Defined By Element</t>
  </si>
  <si>
    <t>ISO Field Type</t>
  </si>
  <si>
    <t>Issuer Name</t>
  </si>
  <si>
    <t>Coöperatieve Rabobank U.A.</t>
  </si>
  <si>
    <t>free</t>
  </si>
  <si>
    <t>STRING</t>
  </si>
  <si>
    <t>Party</t>
  </si>
  <si>
    <t>PartyName</t>
  </si>
  <si>
    <t>LEIName</t>
  </si>
  <si>
    <t>string</t>
  </si>
  <si>
    <t>\S+( \S+)*/&gt;</t>
  </si>
  <si>
    <t/>
  </si>
  <si>
    <t>PartyIdentificationInformation</t>
  </si>
  <si>
    <t>Max140Text</t>
  </si>
  <si>
    <t>Issuer LEI</t>
  </si>
  <si>
    <t>DG3RU1DBUFHT4ZF9WN62</t>
  </si>
  <si>
    <t>predefined</t>
  </si>
  <si>
    <t>LEIIdentifier</t>
  </si>
  <si>
    <t>[A-Z0-9]{18,18}[0-9]{2,2}</t>
  </si>
  <si>
    <t>PartyIdentification129Choice</t>
  </si>
  <si>
    <t>Issuer Bloomberg Ticker</t>
  </si>
  <si>
    <t>x</t>
  </si>
  <si>
    <t>BloombergTicker</t>
  </si>
  <si>
    <t>NA</t>
  </si>
  <si>
    <t>Guarantor Name</t>
  </si>
  <si>
    <t>Guarantor LEI</t>
  </si>
  <si>
    <t>Series Number</t>
  </si>
  <si>
    <t>Product</t>
  </si>
  <si>
    <t>Max16Text</t>
  </si>
  <si>
    <t>Tranche Number</t>
  </si>
  <si>
    <t>INTEGER</t>
  </si>
  <si>
    <t>TrancheNumber</t>
  </si>
  <si>
    <t>integer</t>
  </si>
  <si>
    <t>Issuer Ratings Agency</t>
  </si>
  <si>
    <t>Fitch</t>
  </si>
  <si>
    <t>list</t>
  </si>
  <si>
    <t>Rating</t>
  </si>
  <si>
    <t>RatingAgency</t>
  </si>
  <si>
    <t>Issuer Ratings Value</t>
  </si>
  <si>
    <t>A+</t>
  </si>
  <si>
    <t>RatingValue</t>
  </si>
  <si>
    <t>RatingValueIdentifier</t>
  </si>
  <si>
    <t>Issuer Ratings Outlook</t>
  </si>
  <si>
    <t>Stable</t>
  </si>
  <si>
    <t>RatingOutlook</t>
  </si>
  <si>
    <t>Guarantor Ratings Agency</t>
  </si>
  <si>
    <t>Guarantor Ratings Value</t>
  </si>
  <si>
    <t>Guarantor Ratings Outlook</t>
  </si>
  <si>
    <t>Issue Ratings Agency</t>
  </si>
  <si>
    <t>Expected Issue Ratings Value</t>
  </si>
  <si>
    <t>ExpectedProductRating</t>
  </si>
  <si>
    <t>RatingGroup</t>
  </si>
  <si>
    <t>Form of the Note</t>
  </si>
  <si>
    <t>Registered</t>
  </si>
  <si>
    <t>FormOfNote</t>
  </si>
  <si>
    <t xml:space="preserve"> </t>
  </si>
  <si>
    <t>FinancialInstrumentAttributes1</t>
  </si>
  <si>
    <t>FormOfSecurity1Code</t>
  </si>
  <si>
    <t>Issuance Type</t>
  </si>
  <si>
    <t>Standalone</t>
  </si>
  <si>
    <t>Issuance</t>
  </si>
  <si>
    <t>IssuanceType</t>
  </si>
  <si>
    <t>Status of the Notes</t>
  </si>
  <si>
    <t>Senior Secured</t>
  </si>
  <si>
    <t>StatusOfNote</t>
  </si>
  <si>
    <t>DebtInstrumentSeniorityType1Code</t>
  </si>
  <si>
    <t>enum list</t>
  </si>
  <si>
    <t>Identifier Type</t>
  </si>
  <si>
    <t>ISIN</t>
  </si>
  <si>
    <t>SecurityIdentifier</t>
  </si>
  <si>
    <t>IdentifierType</t>
  </si>
  <si>
    <t>Security</t>
  </si>
  <si>
    <t>SecuritiesIdentification</t>
  </si>
  <si>
    <t>Identifier Value</t>
  </si>
  <si>
    <t>ISINOct2015Identifier</t>
  </si>
  <si>
    <t>DLT Bond Indicator</t>
  </si>
  <si>
    <t>Boolean</t>
  </si>
  <si>
    <t>DigitalBondIndicator</t>
  </si>
  <si>
    <t>boolean</t>
  </si>
  <si>
    <t>Aggregate Nominal Amount</t>
  </si>
  <si>
    <t>DECIMAL</t>
  </si>
  <si>
    <t>AggregateNominalAmount</t>
  </si>
  <si>
    <t>decimal</t>
  </si>
  <si>
    <t xml:space="preserve">Aggregate nominal amount on issue of the initial tranche. </t>
  </si>
  <si>
    <t>DecimalNumber</t>
  </si>
  <si>
    <t>Outstanding Amount Before Increase</t>
  </si>
  <si>
    <t>OutstandingAmountBeforeIncrease</t>
  </si>
  <si>
    <t>Aggregate nominal amount outstanding following any prior fungible tranches (taps).</t>
  </si>
  <si>
    <t>Outstanding Amount After Increase:</t>
  </si>
  <si>
    <t>OutstandingAmountAfterIncrease</t>
  </si>
  <si>
    <t>Specified Denomination</t>
  </si>
  <si>
    <t>SpecifiedDenomination</t>
  </si>
  <si>
    <t>Minimum denomination.</t>
  </si>
  <si>
    <t>Integral Multiples</t>
  </si>
  <si>
    <t>IntegralMultiples</t>
  </si>
  <si>
    <t>Final Redemption Amount</t>
  </si>
  <si>
    <t>FinalRedemptionAmountPercentage</t>
  </si>
  <si>
    <t>Specified Currency</t>
  </si>
  <si>
    <t>EUR</t>
  </si>
  <si>
    <t>SpecifiedCurrency</t>
  </si>
  <si>
    <t>[A-Z]{3,3}</t>
  </si>
  <si>
    <t>Currency of the nominal value of the issuance.</t>
  </si>
  <si>
    <t>ActiveOrHistoricCurrencyCode</t>
  </si>
  <si>
    <t>Payment Currency</t>
  </si>
  <si>
    <t>PaymentCurrency</t>
  </si>
  <si>
    <t>Currency for interest payments. Only if payment currency differs from Specified Currency.</t>
  </si>
  <si>
    <t>Settlement Currency</t>
  </si>
  <si>
    <t>SettlementCurrency</t>
  </si>
  <si>
    <t>Currency for settlement. Only if settlement currency differs from Specified Currency.</t>
  </si>
  <si>
    <t>Pricing Date</t>
  </si>
  <si>
    <t>calendar</t>
  </si>
  <si>
    <t>DATEFORMAT</t>
  </si>
  <si>
    <t>PricingDate</t>
  </si>
  <si>
    <t>ISODate</t>
  </si>
  <si>
    <t>date</t>
  </si>
  <si>
    <t>The date the transaction is priced ahead of issuance. Also referred to as trade date for private placements.</t>
  </si>
  <si>
    <t>Issue Date</t>
  </si>
  <si>
    <t>IssueDate</t>
  </si>
  <si>
    <t>The date when the security legally comes into existence and typically falls in line with settlement date and interest commencement date. Also referred to as closing date (though historically different).</t>
  </si>
  <si>
    <t>ISODateTime</t>
  </si>
  <si>
    <t>Settlement Date</t>
  </si>
  <si>
    <t>SettlementDate</t>
  </si>
  <si>
    <t>Maturity Date</t>
  </si>
  <si>
    <t>Date</t>
  </si>
  <si>
    <t>MaturityDate</t>
  </si>
  <si>
    <t>simpleType</t>
  </si>
  <si>
    <t>Interest Type</t>
  </si>
  <si>
    <t>Fixed</t>
  </si>
  <si>
    <t>InterestPayment</t>
  </si>
  <si>
    <t>InterestRateType</t>
  </si>
  <si>
    <t>Type of interest payment (eg Fixed, Floating, Zero coupon). May also refer to dividend in other jurisdictions.</t>
  </si>
  <si>
    <t>DebtInstrument2</t>
  </si>
  <si>
    <t>InterestRate6Choice</t>
  </si>
  <si>
    <t>Interest Payment Frequency</t>
  </si>
  <si>
    <t>InterestPaymentFrequency</t>
  </si>
  <si>
    <t>Frequency1Code</t>
  </si>
  <si>
    <t>InterestRate</t>
  </si>
  <si>
    <t>PriceYieldDiscount</t>
  </si>
  <si>
    <t xml:space="preserve">Rate of fixed interest payments. </t>
  </si>
  <si>
    <t>InterestRateChoice</t>
  </si>
  <si>
    <t>PercentageRate</t>
  </si>
  <si>
    <t>Interest Rate Benchmark</t>
  </si>
  <si>
    <t>Benchmark</t>
  </si>
  <si>
    <t>The code of the underlying security used to define the reference rate on the basis on which the periodic interest payments are calculated.</t>
  </si>
  <si>
    <t xml:space="preserve">BenchmarkCurveName </t>
  </si>
  <si>
    <t>BenchmarkCurveName1Code</t>
  </si>
  <si>
    <t>Term</t>
  </si>
  <si>
    <t>Term of the index/benchmark. Only required when term period defined. The term shall be expressed as an integer referring to a term period of days, weeks, months or years (as cited under Term Period).</t>
  </si>
  <si>
    <t>Term Period</t>
  </si>
  <si>
    <t>TermPeriod</t>
  </si>
  <si>
    <t>Term period of the index/benchmark. Only required when term period defined. The term period shall be expressed in days, weeks, months or years.</t>
  </si>
  <si>
    <t>Calculation Type</t>
  </si>
  <si>
    <t>CalculationType</t>
  </si>
  <si>
    <t>Determination Method</t>
  </si>
  <si>
    <t>DeterminationMethod</t>
  </si>
  <si>
    <t>Observation Method</t>
  </si>
  <si>
    <t>ObservationMethod</t>
  </si>
  <si>
    <t>Period</t>
  </si>
  <si>
    <t>ObservationPeriod</t>
  </si>
  <si>
    <t>Margin</t>
  </si>
  <si>
    <t>Day Count Fraction</t>
  </si>
  <si>
    <t>ICMA Act/Act</t>
  </si>
  <si>
    <t>DayCountFraction</t>
  </si>
  <si>
    <t>InterestComputationMethod2Code</t>
  </si>
  <si>
    <t>Business Days</t>
  </si>
  <si>
    <t>TARGET2</t>
  </si>
  <si>
    <t>BusinessDayCenter</t>
  </si>
  <si>
    <t>Business Day Convention</t>
  </si>
  <si>
    <t>Following, Unadjusted</t>
  </si>
  <si>
    <t>BusinessDayConvention</t>
  </si>
  <si>
    <t>NonWorkingDayAdjustment</t>
  </si>
  <si>
    <t>BusinessDayConvention1Code</t>
  </si>
  <si>
    <t>Interest Commencement Date</t>
  </si>
  <si>
    <t>InterestCommencementDate</t>
  </si>
  <si>
    <t>First Interest Payment Date</t>
  </si>
  <si>
    <t>FirstPayment</t>
  </si>
  <si>
    <t>BrokenDateType</t>
  </si>
  <si>
    <t>Short</t>
  </si>
  <si>
    <t>0..1</t>
  </si>
  <si>
    <t>Last Interest Payment Date</t>
  </si>
  <si>
    <t>LastPayment</t>
  </si>
  <si>
    <t>PayableDate</t>
  </si>
  <si>
    <t>InterestPaymentDates</t>
  </si>
  <si>
    <t>xs:string</t>
  </si>
  <si>
    <t>The day and month during the year when interest payments are scheduled.</t>
  </si>
  <si>
    <t>Issue Price</t>
  </si>
  <si>
    <t>IssuePrice</t>
  </si>
  <si>
    <t>Price</t>
  </si>
  <si>
    <t>Reoffer Price</t>
  </si>
  <si>
    <t>ReOfferPrice</t>
  </si>
  <si>
    <t>Pricing</t>
  </si>
  <si>
    <t>SecuritiesPricing</t>
  </si>
  <si>
    <t>Reoffer Yield p.a.</t>
  </si>
  <si>
    <t>ReOfferPricePerAnnum</t>
  </si>
  <si>
    <r>
      <t>Benchmar</t>
    </r>
    <r>
      <rPr>
        <b/>
        <sz val="11"/>
        <rFont val="Calibri"/>
        <family val="2"/>
        <scheme val="minor"/>
      </rPr>
      <t>k Bond Ticker</t>
    </r>
  </si>
  <si>
    <t>Ticker</t>
  </si>
  <si>
    <t>SecurityTicker</t>
  </si>
  <si>
    <t>SecurityIdentificationChoice</t>
  </si>
  <si>
    <t>TickerIdentifier</t>
  </si>
  <si>
    <t>Benchmark Bond Interest Rate</t>
  </si>
  <si>
    <t>FinancialInstrumentAttributes</t>
  </si>
  <si>
    <t xml:space="preserve">	PercentageRate</t>
  </si>
  <si>
    <t>Benchmark Bond Maturity Date</t>
  </si>
  <si>
    <t>Benchmark Bond ISIN</t>
  </si>
  <si>
    <t>Identifier</t>
  </si>
  <si>
    <t>Identification</t>
  </si>
  <si>
    <t>Benchmark Bond Price</t>
  </si>
  <si>
    <t>Benchmark Bond Yield p.a.</t>
  </si>
  <si>
    <t>YieldToMaturityRate</t>
  </si>
  <si>
    <t>Reoffer Spread vs. Benchmark</t>
  </si>
  <si>
    <t>ReOfferSpreadvsBenchmark</t>
  </si>
  <si>
    <t>SpreadToBenchmark</t>
  </si>
  <si>
    <t>Spread</t>
  </si>
  <si>
    <t>Mid Swap Rate</t>
  </si>
  <si>
    <t>MidSwapRate</t>
  </si>
  <si>
    <t>Reoffer Spread vs. Mid-Swaps</t>
  </si>
  <si>
    <t>ReOfferSpreadvsSwapRate</t>
  </si>
  <si>
    <t>Fees</t>
  </si>
  <si>
    <t>Fee</t>
  </si>
  <si>
    <t>Fees payable to managers/dealers. Expressed as a percentage of nominal amount. Also referred to as commissions.</t>
  </si>
  <si>
    <t>SecuritiesRelatedFees</t>
  </si>
  <si>
    <t>FeeAllocationType</t>
  </si>
  <si>
    <t>Defines how fees are allocated to the managers/dealers, either Equal or Proportional.</t>
  </si>
  <si>
    <t>Text</t>
  </si>
  <si>
    <t>All-in Price</t>
  </si>
  <si>
    <t>AllIn</t>
  </si>
  <si>
    <t>The price after deducting any costs payable by the issuer.</t>
  </si>
  <si>
    <t>DirtyPrice</t>
  </si>
  <si>
    <t>All-in Yield p.a.</t>
  </si>
  <si>
    <t>The yield after deducting any costs payable by the issuer.</t>
  </si>
  <si>
    <t>All-in Spread vs. Benchmark</t>
  </si>
  <si>
    <t>Net proceeds</t>
  </si>
  <si>
    <t>Proceeds</t>
  </si>
  <si>
    <t>Accrued Interest</t>
  </si>
  <si>
    <t>AccruedInterest</t>
  </si>
  <si>
    <t>Number of days</t>
  </si>
  <si>
    <t>Days</t>
  </si>
  <si>
    <t>integrer</t>
  </si>
  <si>
    <t>Number</t>
  </si>
  <si>
    <t>Net proceeds (incl. Accrued Interest)</t>
  </si>
  <si>
    <t>NetIncludingAccruedInterest</t>
  </si>
  <si>
    <t>Listing</t>
  </si>
  <si>
    <t>Copenhagen Stock Exchange</t>
  </si>
  <si>
    <t>ListingMarket</t>
  </si>
  <si>
    <t>MarketTypeCode</t>
  </si>
  <si>
    <t>MaxText_TBD</t>
  </si>
  <si>
    <t>Listing Market Type</t>
  </si>
  <si>
    <t>RMKT</t>
  </si>
  <si>
    <t>ListingMarketType</t>
  </si>
  <si>
    <t>Max_TBD_Number</t>
  </si>
  <si>
    <t>Clearing/Settlement System</t>
  </si>
  <si>
    <t>Euroclear Bank SA/NV</t>
  </si>
  <si>
    <t>ClearingSettlementSystem</t>
  </si>
  <si>
    <t>Method of distribution</t>
  </si>
  <si>
    <t>Syndicated</t>
  </si>
  <si>
    <t>MethodOfDistribution</t>
  </si>
  <si>
    <t>IssuanceDistribution</t>
  </si>
  <si>
    <t>Governing Law</t>
  </si>
  <si>
    <t>Luxembourg Law</t>
  </si>
  <si>
    <t>Legal</t>
  </si>
  <si>
    <t>GoverningLaw</t>
  </si>
  <si>
    <t>Jurisdiction1</t>
  </si>
  <si>
    <t>Expenses</t>
  </si>
  <si>
    <t>Description of commercial arrangements for expenses, eg ‘Issuer pays legal fees’, ‘Lead Manager pays listing expenses’.</t>
  </si>
  <si>
    <t>Lead Manager</t>
  </si>
  <si>
    <t>PartyRole</t>
  </si>
  <si>
    <t>0..n</t>
  </si>
  <si>
    <t>Stabilisation Manager</t>
  </si>
  <si>
    <t>Fiscal Agent</t>
  </si>
  <si>
    <t>Free</t>
  </si>
  <si>
    <t>Principal Paying Agent</t>
  </si>
  <si>
    <t>Calculation Agent</t>
  </si>
  <si>
    <t>Trustee</t>
  </si>
  <si>
    <t>Documentation Name</t>
  </si>
  <si>
    <t>Issuer's Debt Issuance Program</t>
  </si>
  <si>
    <t>Documentation</t>
  </si>
  <si>
    <t>DocumentationName</t>
  </si>
  <si>
    <t xml:space="preserve">Name of offer document, including any supplements, red herrings. </t>
  </si>
  <si>
    <t>GoverningDocument</t>
  </si>
  <si>
    <t>Documentation Date</t>
  </si>
  <si>
    <t>DocumentationDate</t>
  </si>
  <si>
    <t>Offer document/supplement date.</t>
  </si>
  <si>
    <t>Documentation Link</t>
  </si>
  <si>
    <t>DocumentationLink</t>
  </si>
  <si>
    <t>Web link to relevant document.</t>
  </si>
  <si>
    <t>URI</t>
  </si>
  <si>
    <t>Selling Restrictions</t>
  </si>
  <si>
    <t>Reg. S Compliance Category 2</t>
  </si>
  <si>
    <t>SellingRestrictions</t>
  </si>
  <si>
    <t>Restriction</t>
  </si>
  <si>
    <t>SecuritiesRestriction</t>
  </si>
  <si>
    <t>PRIIPs Restriction</t>
  </si>
  <si>
    <t>Prohibition of sales to UK retail investors</t>
  </si>
  <si>
    <t>PRIIPsRestriction</t>
  </si>
  <si>
    <t>Any prohibition of sales to EEA and/or UK retail investors pursuant to the EEA and/or UK PRIIPs Regulation.</t>
  </si>
  <si>
    <t>InvestorType</t>
  </si>
  <si>
    <t>InvestorType1Code</t>
  </si>
  <si>
    <t>Additional Selling Restrictions</t>
  </si>
  <si>
    <t>AdditionalSellingRestrictions</t>
  </si>
  <si>
    <t>Manufacturer Target Market</t>
  </si>
  <si>
    <t>UK MIFIR product governance / Professional investors and ECPs only target market</t>
  </si>
  <si>
    <t>ManufacturerTargetMarket</t>
  </si>
  <si>
    <t>Negative Pledge</t>
  </si>
  <si>
    <t>Not Applicable</t>
  </si>
  <si>
    <t>NegativePledge</t>
  </si>
  <si>
    <t>Gross Up</t>
  </si>
  <si>
    <t>No gross up if tax deduction or withholding is imposed</t>
  </si>
  <si>
    <t>GrossUp</t>
  </si>
  <si>
    <t>Cross Default</t>
  </si>
  <si>
    <t>CrossDefault</t>
  </si>
  <si>
    <t>Substitution or variation</t>
  </si>
  <si>
    <t>SubstitutionOrVariation</t>
  </si>
  <si>
    <t>Call/Put Option</t>
  </si>
  <si>
    <t>Optionality</t>
  </si>
  <si>
    <t>CallableIndicator</t>
  </si>
  <si>
    <t>YesNoIndicator</t>
  </si>
  <si>
    <t>Optional Redemption Dates</t>
  </si>
  <si>
    <t>OptionalRedemptionDates</t>
  </si>
  <si>
    <t>StartDate</t>
  </si>
  <si>
    <t>EndDate</t>
  </si>
  <si>
    <t>First Reset Date</t>
  </si>
  <si>
    <t>Optional Redemption Amount</t>
  </si>
  <si>
    <t>OptionalRedemptionAmount</t>
  </si>
  <si>
    <t>Yield to Call</t>
  </si>
  <si>
    <t>YieldToCall</t>
  </si>
  <si>
    <r>
      <rPr>
        <b/>
        <sz val="8"/>
        <color theme="1"/>
        <rFont val="Calibri"/>
        <family val="2"/>
        <scheme val="minor"/>
      </rPr>
      <t>Legal Disclaimer</t>
    </r>
    <r>
      <rPr>
        <sz val="8"/>
        <color theme="1"/>
        <rFont val="Calibri"/>
        <family val="2"/>
        <scheme val="minor"/>
      </rPr>
      <t>: This document was created by the International Capital Market Association (ICMA) Bond Data Taxonomy Working Group. This component is subject to the following terms of use. This component is provided 'AS IS'. ICMA does not give and excludes any express or implied warranties with respect to this component such as but not limited to any guarantee as to its quality, supply or availability. The user  has no right, or right to authorise others, to:
- rent, lease, or sell this component;
- display publicly, distribute or otherwise provide this component;
- remove, alter, cover, obfuscate or cancel from view any copyright or other proprietary rights notices, marks or legends appearing in this physical medium.
Any and all rights, including title, ownership rights, copyright, trademark, patents, and any other intellectual property rights of whatever nature in this component will remain the exclusive property of ICMA or its licensors.</t>
    </r>
  </si>
  <si>
    <t>Ratings Agency</t>
  </si>
  <si>
    <t>Ratings Outlook</t>
  </si>
  <si>
    <t>BrokenType</t>
  </si>
  <si>
    <t>Positive</t>
  </si>
  <si>
    <t>Bearer</t>
  </si>
  <si>
    <t>Programme</t>
  </si>
  <si>
    <t>MAAA</t>
  </si>
  <si>
    <t>DAYS</t>
  </si>
  <si>
    <t>Compounded Daily</t>
  </si>
  <si>
    <t>Index</t>
  </si>
  <si>
    <t>Observation Shift</t>
  </si>
  <si>
    <t>Long</t>
  </si>
  <si>
    <t>Equal</t>
  </si>
  <si>
    <t>AIAF</t>
  </si>
  <si>
    <t>German Law</t>
  </si>
  <si>
    <t>Prohibition of sales to EEA retail investors</t>
  </si>
  <si>
    <t>MIFID II product governance / Professional investors and ECPs only target market</t>
  </si>
  <si>
    <t>Applicable</t>
  </si>
  <si>
    <t>Investor Put</t>
  </si>
  <si>
    <t>Moody's</t>
  </si>
  <si>
    <t>Senior Unsecured</t>
  </si>
  <si>
    <t>WKN</t>
  </si>
  <si>
    <t>…</t>
  </si>
  <si>
    <t>Floating</t>
  </si>
  <si>
    <t>Semi-annually</t>
  </si>
  <si>
    <t>FUSW</t>
  </si>
  <si>
    <t>WEEK</t>
  </si>
  <si>
    <t>Weighted Average</t>
  </si>
  <si>
    <t>Calculated</t>
  </si>
  <si>
    <t>Lag</t>
  </si>
  <si>
    <t>ISDA Act/Act</t>
  </si>
  <si>
    <t>Frankfurt</t>
  </si>
  <si>
    <t>Preceding</t>
  </si>
  <si>
    <t>Proportional</t>
  </si>
  <si>
    <t>Australian Securities Exchange</t>
  </si>
  <si>
    <t>RMQI</t>
  </si>
  <si>
    <t>Auction</t>
  </si>
  <si>
    <t>English Law</t>
  </si>
  <si>
    <t>Reg. S Compliance Category 1</t>
  </si>
  <si>
    <t>Change of Control Put/Put Event</t>
  </si>
  <si>
    <t>S&amp;P</t>
  </si>
  <si>
    <t>Negative</t>
  </si>
  <si>
    <t>Dematerialised</t>
  </si>
  <si>
    <t>Senior Preferred</t>
  </si>
  <si>
    <t>Common Code</t>
  </si>
  <si>
    <t>Zero coupon</t>
  </si>
  <si>
    <t>Quarterly</t>
  </si>
  <si>
    <t>LIBI</t>
  </si>
  <si>
    <t>MNTH</t>
  </si>
  <si>
    <t>Lock-out</t>
  </si>
  <si>
    <t>30/360</t>
  </si>
  <si>
    <t>New York</t>
  </si>
  <si>
    <t>Modified Following, Adjusted</t>
  </si>
  <si>
    <t>Baden-Wuerttemberg Stock Exchange</t>
  </si>
  <si>
    <t>MSGM</t>
  </si>
  <si>
    <t>Private Placement</t>
  </si>
  <si>
    <t>Dutch Law</t>
  </si>
  <si>
    <t>MIFID II product governance / Retail investors, professional investors and ECPs target market</t>
  </si>
  <si>
    <t>Issuer Call</t>
  </si>
  <si>
    <t>DBRS</t>
  </si>
  <si>
    <t>Developing</t>
  </si>
  <si>
    <t>Book-entry</t>
  </si>
  <si>
    <t>Senior Non Preferred</t>
  </si>
  <si>
    <t>CUSIP</t>
  </si>
  <si>
    <t>None</t>
  </si>
  <si>
    <t>LIBO</t>
  </si>
  <si>
    <t>YEAR</t>
  </si>
  <si>
    <t>Payment Delay</t>
  </si>
  <si>
    <t>30/365</t>
  </si>
  <si>
    <t>Luxembourg</t>
  </si>
  <si>
    <t>Berlin Stock Exchange</t>
  </si>
  <si>
    <t>MLTF</t>
  </si>
  <si>
    <t>Clearstream Banking S.A.</t>
  </si>
  <si>
    <t>Non-Syndicated</t>
  </si>
  <si>
    <t>Reg. S Compliance Category 3</t>
  </si>
  <si>
    <t>UK MIFIR product governance / Retail investors, professional investors and ECPs target market</t>
  </si>
  <si>
    <t>NM (Not Meaningful)</t>
  </si>
  <si>
    <t>Collective Debt Register Claim</t>
  </si>
  <si>
    <t>Subordinated</t>
  </si>
  <si>
    <t>Temporary ISIN</t>
  </si>
  <si>
    <t>SWAP</t>
  </si>
  <si>
    <t>Act/360</t>
  </si>
  <si>
    <t>Borsa Italian</t>
  </si>
  <si>
    <t>New York Law</t>
  </si>
  <si>
    <t>144A</t>
  </si>
  <si>
    <t>Evolving</t>
  </si>
  <si>
    <t>Dematerialised Bearer</t>
  </si>
  <si>
    <t>Temporary Common Code</t>
  </si>
  <si>
    <t>TREA</t>
  </si>
  <si>
    <t>Act/365</t>
  </si>
  <si>
    <t>Cayman Stock Exchange</t>
  </si>
  <si>
    <t>French Law</t>
  </si>
  <si>
    <t>TEFRA C</t>
  </si>
  <si>
    <t>Dematerialised Book-Entry</t>
  </si>
  <si>
    <t>DTI</t>
  </si>
  <si>
    <t>EURI</t>
  </si>
  <si>
    <t>New South Wales Law</t>
  </si>
  <si>
    <t>TEFRA D</t>
  </si>
  <si>
    <t>Dematerialised Registered</t>
  </si>
  <si>
    <t>PFAN</t>
  </si>
  <si>
    <t>Düsseldorf Stock Exchange</t>
  </si>
  <si>
    <t>Spanish Law</t>
  </si>
  <si>
    <t>TEFRA not applicable</t>
  </si>
  <si>
    <t>Fed Bookentry</t>
  </si>
  <si>
    <t>EONA</t>
  </si>
  <si>
    <t>Euronext Amsterdam</t>
  </si>
  <si>
    <t>Italian Law</t>
  </si>
  <si>
    <t>SEC-registered</t>
  </si>
  <si>
    <t>Materialised Bearer</t>
  </si>
  <si>
    <t>EONS</t>
  </si>
  <si>
    <t>Euronext Brussels</t>
  </si>
  <si>
    <t>Canadian Law</t>
  </si>
  <si>
    <t>Materialised Registered</t>
  </si>
  <si>
    <t>EUUS</t>
  </si>
  <si>
    <t>Euronext Dublin</t>
  </si>
  <si>
    <t>Austrian Law</t>
  </si>
  <si>
    <t>EUCH</t>
  </si>
  <si>
    <t>Euronext Lisbon</t>
  </si>
  <si>
    <t>Ontario Law</t>
  </si>
  <si>
    <t>TIBO</t>
  </si>
  <si>
    <t>Euronext Paris</t>
  </si>
  <si>
    <t>Belgian Law</t>
  </si>
  <si>
    <t>Uncertificated Dematerialised Book-Entry</t>
  </si>
  <si>
    <t>ISDA</t>
  </si>
  <si>
    <t>ExtraMOT</t>
  </si>
  <si>
    <t>Danish Law</t>
  </si>
  <si>
    <t>Uncertified</t>
  </si>
  <si>
    <t>GCFR</t>
  </si>
  <si>
    <t>Frankfurt Stock Exchange</t>
  </si>
  <si>
    <t>Finnish Law</t>
  </si>
  <si>
    <t>Uncertified Dematerialised Book-Entry</t>
  </si>
  <si>
    <t>STBO</t>
  </si>
  <si>
    <t>Hamburg Stock Exchange</t>
  </si>
  <si>
    <t>BBSW</t>
  </si>
  <si>
    <t>Hannover Stock Exchange</t>
  </si>
  <si>
    <t>JIBA</t>
  </si>
  <si>
    <t>Hong Kong Stock Exchange</t>
  </si>
  <si>
    <t>BUBO</t>
  </si>
  <si>
    <t>Indian International Exchange</t>
  </si>
  <si>
    <t>CDOR</t>
  </si>
  <si>
    <t>International Stock Exchange</t>
  </si>
  <si>
    <t>CIBO</t>
  </si>
  <si>
    <t>Johannesburg Stock Exchange</t>
  </si>
  <si>
    <t>MOSP</t>
  </si>
  <si>
    <t>Labuan International Financial Exchange</t>
  </si>
  <si>
    <t>NIBO</t>
  </si>
  <si>
    <t>London Stock Exchange</t>
  </si>
  <si>
    <t>PRBO</t>
  </si>
  <si>
    <t>Luxembourg Stock Exchange</t>
  </si>
  <si>
    <t>TLBO</t>
  </si>
  <si>
    <t>MARF</t>
  </si>
  <si>
    <t>WIBO</t>
  </si>
  <si>
    <t>Munich Stock Exchange</t>
  </si>
  <si>
    <t>ESTR</t>
  </si>
  <si>
    <t>Nasdaq Copenhagen A/S</t>
  </si>
  <si>
    <t>SOFR</t>
  </si>
  <si>
    <t>Nasdaq Dubai</t>
  </si>
  <si>
    <t>SONA</t>
  </si>
  <si>
    <t>Nasdaq Helsinki</t>
  </si>
  <si>
    <t>RCTR</t>
  </si>
  <si>
    <t>Nasdaq Stockholm</t>
  </si>
  <si>
    <t>CORA</t>
  </si>
  <si>
    <t>New Zealand Stock Exchange</t>
  </si>
  <si>
    <t>BCOL</t>
  </si>
  <si>
    <t>NOMX Stockholm</t>
  </si>
  <si>
    <t>HKIO</t>
  </si>
  <si>
    <t>Oslo Stock Exchange</t>
  </si>
  <si>
    <t>BJUO</t>
  </si>
  <si>
    <t>Singapore SGX</t>
  </si>
  <si>
    <t>ETIO</t>
  </si>
  <si>
    <t>SIX Swiss Exchange</t>
  </si>
  <si>
    <t>EFFR</t>
  </si>
  <si>
    <t>Stuttgart Stock Exchange</t>
  </si>
  <si>
    <t>OBFR</t>
  </si>
  <si>
    <t>Taipei Exchange</t>
  </si>
  <si>
    <t>CZNA</t>
  </si>
  <si>
    <t>Tokyo Stock Exchange</t>
  </si>
  <si>
    <t>Vienna Stock Exchange</t>
  </si>
  <si>
    <t>Warsaw Stock Exchange</t>
  </si>
  <si>
    <t>Not listed</t>
  </si>
  <si>
    <t>Value</t>
  </si>
  <si>
    <t>Use of Proceeds</t>
  </si>
  <si>
    <t>Series Amount</t>
  </si>
  <si>
    <t>Tranche Amount</t>
  </si>
  <si>
    <t>Early Redemption Amount</t>
  </si>
  <si>
    <t xml:space="preserve">This document aims to support the usability and readability of the machine-readable Bond Data Taxonomy documents contained within the BDT Pack. The sheet provides a reference between key bond fields, ISO Types, and how this information is captured within the BDT data definitions and categories. </t>
  </si>
  <si>
    <t>Ethereum</t>
  </si>
  <si>
    <t>Public</t>
  </si>
  <si>
    <t>SG Forge</t>
  </si>
  <si>
    <t>DEEP</t>
  </si>
  <si>
    <t>Private</t>
  </si>
  <si>
    <t>SmartContract</t>
  </si>
  <si>
    <t>Uncertificated Registered</t>
  </si>
  <si>
    <t>Joint Global Coordinator</t>
  </si>
  <si>
    <t>Central Money Markets Unit</t>
  </si>
  <si>
    <t>Market Practice Advisor</t>
  </si>
  <si>
    <t>Transfer Agent</t>
  </si>
  <si>
    <t>Legal Advisor</t>
  </si>
  <si>
    <t>Lodging Agent</t>
  </si>
  <si>
    <t>Gross Proceeds</t>
  </si>
  <si>
    <t>EarlyRedemptionAmountPercentage</t>
  </si>
  <si>
    <t>SeriesNumber</t>
  </si>
  <si>
    <t>SeriesAmount</t>
  </si>
  <si>
    <t>TrancheAmount</t>
  </si>
  <si>
    <t>Unit</t>
  </si>
  <si>
    <t>Calculation Amount</t>
  </si>
  <si>
    <t>CalculationAmount</t>
  </si>
  <si>
    <t>Redemption Payment Basis</t>
  </si>
  <si>
    <t>Partly Paid</t>
  </si>
  <si>
    <t>Par</t>
  </si>
  <si>
    <t>Redemption/Payment Basis</t>
  </si>
  <si>
    <t>Installment</t>
  </si>
  <si>
    <t>Dual Currency</t>
  </si>
  <si>
    <t>Change of Interest/Payment Basis</t>
  </si>
  <si>
    <t>String</t>
  </si>
  <si>
    <t>ChangeOfInterestPaymentBasis</t>
  </si>
  <si>
    <t>UseOfProceeds</t>
  </si>
  <si>
    <t>Joint Bookrunner</t>
  </si>
  <si>
    <t>Joint Lead Managers</t>
  </si>
  <si>
    <t>Joint Global Coordinators</t>
  </si>
  <si>
    <t>Joint Bookrunners</t>
  </si>
  <si>
    <t>Role</t>
  </si>
  <si>
    <t>RedemptionPaymentBasis</t>
  </si>
  <si>
    <t>Smart Contract</t>
  </si>
  <si>
    <t>FIGI</t>
  </si>
  <si>
    <t>SEDOL</t>
  </si>
  <si>
    <t>VALOR</t>
  </si>
  <si>
    <t>CMU</t>
  </si>
  <si>
    <t>XS2524143554</t>
  </si>
  <si>
    <t>Annually</t>
  </si>
  <si>
    <t>ID-Link</t>
  </si>
  <si>
    <t>Permissioned</t>
  </si>
  <si>
    <t>Consortium</t>
  </si>
  <si>
    <t>Hybrid</t>
  </si>
  <si>
    <t xml:space="preserve">MIC=SGF, DTI=XC7KDF8R9 </t>
  </si>
  <si>
    <t>Type</t>
  </si>
  <si>
    <t xml:space="preserve">Accessibility </t>
  </si>
  <si>
    <t>Operator</t>
  </si>
  <si>
    <t>Name</t>
  </si>
  <si>
    <t>TokenType</t>
  </si>
  <si>
    <t>TokenTechnicalReference</t>
  </si>
  <si>
    <t>TokenTechnicalReferenceId</t>
  </si>
  <si>
    <t>Central Account Keeper</t>
  </si>
  <si>
    <t>Crypto Securities Registrar</t>
  </si>
  <si>
    <t>BD7KDF8R3, XS2524143554</t>
  </si>
  <si>
    <t>DLTPlatform Accessiblility</t>
  </si>
  <si>
    <t>The smart contract identifier used by the platform in reference to the token type and purpose of the platform.</t>
  </si>
  <si>
    <t>Issuer</t>
  </si>
  <si>
    <t>Guarantor</t>
  </si>
  <si>
    <t>Joint Lead Manager</t>
  </si>
  <si>
    <t>Registrar</t>
  </si>
  <si>
    <t>Custodian</t>
  </si>
  <si>
    <t>Platform Operator</t>
  </si>
  <si>
    <t>Direct Participant</t>
  </si>
  <si>
    <t>Deposit Bank</t>
  </si>
  <si>
    <t>1..n</t>
  </si>
  <si>
    <t>Indication of Yield</t>
  </si>
  <si>
    <t>The type of token(s) used on the platform. This is a free text field that allows for multiple tokens.</t>
  </si>
  <si>
    <t>One or more technical reference documents and specifications of the token(s).</t>
  </si>
  <si>
    <t>Identifiers of the technical specifications reference in the TokenTechnicalReference tag.</t>
  </si>
  <si>
    <t>*</t>
  </si>
  <si>
    <t>Additions/Modifications in version 1.2</t>
  </si>
  <si>
    <t>SemiPublic</t>
  </si>
  <si>
    <t>Issuer Agent</t>
  </si>
  <si>
    <t>For the period from (and including) the Interest Commencement Date, up to (but excluding) 2021-08-15 paragraph 14 applies.</t>
  </si>
  <si>
    <t>For Eligible Projects as defined under the Green Bond Framework,
as further described in the Offering Memorandum.</t>
  </si>
  <si>
    <t>The Notes being registered in a distributed ledger technology constituting a dispositif
d’enregistrement électronique partagé, as defined in Articles L. 211-3 et seq. of the French 
Monetary and Financial Code (the DEEP).</t>
  </si>
  <si>
    <t>Index-Linked Interest</t>
  </si>
  <si>
    <t>DTCC</t>
  </si>
  <si>
    <t>Credit Suisse</t>
  </si>
  <si>
    <t>7245009UXRIGIRYOBR48</t>
  </si>
  <si>
    <t>Rate of Interest (%)</t>
  </si>
  <si>
    <t xml:space="preserve">2) Column C terms: </t>
  </si>
  <si>
    <t>3 MNTH</t>
  </si>
  <si>
    <t>Margin(%)</t>
  </si>
  <si>
    <t>2022-02-22,2022-08-22</t>
  </si>
  <si>
    <t>OBL</t>
  </si>
  <si>
    <t>DE0001141869</t>
  </si>
  <si>
    <t>LEI-ANGGYXNX0JLX3X63JN86</t>
  </si>
  <si>
    <t>LEI-7245009UXRIGIRYOBR48</t>
  </si>
  <si>
    <t>LEI-8IBZUGJ7JPLH368JE346</t>
  </si>
  <si>
    <t>LEI-BFM8T61CT2L1QCEMIK50</t>
  </si>
  <si>
    <t>LEI-DG3RU1DBUFHT4ZF9WN62</t>
  </si>
  <si>
    <t>2027-10-15</t>
  </si>
  <si>
    <t>Issuer pays legal fees</t>
  </si>
  <si>
    <t>https://document</t>
  </si>
  <si>
    <t>UK, EEA and US and as further set out in the Base Prospectus</t>
  </si>
  <si>
    <t>One Time 10,000 GBP</t>
  </si>
  <si>
    <t>Fields (1)</t>
  </si>
  <si>
    <t>Field type (2)</t>
  </si>
  <si>
    <t>Token Type</t>
  </si>
  <si>
    <t>Token Technical Reference</t>
  </si>
  <si>
    <t>Token Technical Reference ID</t>
  </si>
  <si>
    <t>0xE9Ac9Eb7cDDAzfd9e5CA43c23bd521aFcDK8BE49</t>
  </si>
  <si>
    <t>ISOCurrency (ISO 4217)</t>
  </si>
  <si>
    <t>ISOCurrency(ISO 4217)Code</t>
  </si>
  <si>
    <t>Optional (3)</t>
  </si>
  <si>
    <t>Explanatory notes:</t>
  </si>
  <si>
    <t>Please consult the user guide for further information.</t>
  </si>
  <si>
    <r>
      <rPr>
        <b/>
        <sz val="11"/>
        <color theme="1"/>
        <rFont val="Calibri"/>
        <family val="2"/>
        <scheme val="minor"/>
      </rPr>
      <t xml:space="preserve">Free: </t>
    </r>
    <r>
      <rPr>
        <sz val="11"/>
        <color theme="1"/>
        <rFont val="Calibri"/>
        <family val="2"/>
        <scheme val="minor"/>
      </rPr>
      <t>Any Text String</t>
    </r>
  </si>
  <si>
    <r>
      <rPr>
        <b/>
        <sz val="11"/>
        <color theme="1"/>
        <rFont val="Calibri"/>
        <family val="2"/>
        <scheme val="minor"/>
      </rPr>
      <t>ID-Link:</t>
    </r>
    <r>
      <rPr>
        <sz val="11"/>
        <color theme="1"/>
        <rFont val="Calibri"/>
        <family val="2"/>
        <scheme val="minor"/>
      </rPr>
      <t xml:space="preserve"> A link to another field in the xml.</t>
    </r>
  </si>
  <si>
    <r>
      <rPr>
        <b/>
        <sz val="11"/>
        <color theme="1"/>
        <rFont val="Calibri"/>
        <family val="2"/>
        <scheme val="minor"/>
      </rPr>
      <t xml:space="preserve">Predefined: </t>
    </r>
    <r>
      <rPr>
        <sz val="11"/>
        <color theme="1"/>
        <rFont val="Calibri"/>
        <family val="2"/>
        <scheme val="minor"/>
      </rPr>
      <t>Input is restricted based on allowed data type e.g ISIN, LEI.</t>
    </r>
  </si>
  <si>
    <t>"DLT extension", referring to DLTPlatformInformation Block:</t>
  </si>
  <si>
    <t>Clearstream Banking Frankfurt</t>
  </si>
  <si>
    <r>
      <t xml:space="preserve">1) </t>
    </r>
    <r>
      <rPr>
        <sz val="11"/>
        <color theme="1"/>
        <rFont val="Calibri"/>
        <family val="2"/>
        <scheme val="minor"/>
      </rPr>
      <t xml:space="preserve">The names in column A may differ from the actual name used in the xml files in some instances, notably where the data elements fall into a specific category such as "Party". See column H for xml names and column L for annotations. </t>
    </r>
  </si>
  <si>
    <r>
      <t>3)</t>
    </r>
    <r>
      <rPr>
        <sz val="11"/>
        <color theme="1"/>
        <rFont val="Calibri"/>
        <family val="2"/>
        <scheme val="minor"/>
      </rPr>
      <t xml:space="preserve"> Column E: x refers to the XML specifications and indicates the field is optional</t>
    </r>
  </si>
  <si>
    <t>Where "List" is noted in column C of the BDT Reference Sheet it refers to the enumerated values in the Enumerations tab.</t>
  </si>
  <si>
    <r>
      <rPr>
        <b/>
        <sz val="11"/>
        <color theme="1"/>
        <rFont val="Calibri"/>
        <family val="2"/>
        <scheme val="minor"/>
      </rPr>
      <t xml:space="preserve">Calendar: </t>
    </r>
    <r>
      <rPr>
        <sz val="11"/>
        <color theme="1"/>
        <rFont val="Calibri"/>
        <family val="2"/>
        <scheme val="minor"/>
      </rPr>
      <t>Formatted Date</t>
    </r>
  </si>
  <si>
    <r>
      <rPr>
        <b/>
        <sz val="11"/>
        <color theme="1"/>
        <rFont val="Calibri"/>
        <family val="2"/>
        <scheme val="minor"/>
      </rPr>
      <t>List:</t>
    </r>
    <r>
      <rPr>
        <sz val="11"/>
        <color theme="1"/>
        <rFont val="Calibri"/>
        <family val="2"/>
        <scheme val="minor"/>
      </rPr>
      <t xml:space="preserve"> Enumerated List, see values in "Enumerations" tab </t>
    </r>
  </si>
  <si>
    <t>IndicationOfYield</t>
  </si>
  <si>
    <t xml:space="preserve">Indication of whether the bond is issued on a distributed ledger. See also ICMA FAQs on DLT and blockchain in bond markets. </t>
  </si>
  <si>
    <t>The Role element describes the activities and services performed by the platform as described in the offering documents. The role type allows for a free text description of one or more roles but also allows the use of a link to a specific role as defined in the partyRole group. Typical roles performed by a DLT platform include registrar, account keeper, custodian and settlement agent.</t>
  </si>
  <si>
    <t>The operator of a DLT platform will depend on the type of platform and accessibility. In a private ledger there may be one operator. In a consortium there will be more than one operator. In a public network, no operator will be defined instead the operator element will be set to Distributed.</t>
  </si>
  <si>
    <t>A description of the fees (if applicable) charged by the platform, how they are calculated and distributed.</t>
  </si>
  <si>
    <t>The public or commercial name assigned to the platform.</t>
  </si>
  <si>
    <t>One or more identifiers assigned to the platform that may include a MIC, LEI, DTI or custom identifier.</t>
  </si>
  <si>
    <t xml:space="preserve">Whether Bearer, Registered, or other formats. </t>
  </si>
  <si>
    <t>Used when only one lead manager.</t>
  </si>
  <si>
    <t>The listing market type is a code associated with the characteristics of the trading venue where the security is initially admitted to trading.</t>
  </si>
  <si>
    <t>Arranger</t>
  </si>
  <si>
    <t>Accessibility describes the scope of participants and whether participants' access is restricted. A public ledger, also known as non-permissioned ledger, allows anyone to create and validate blocks as well as to modify the ledger state by storing and updating data by means of transactions among participating entities. Private ledgers are restricted to specific users or entities to modify the ledger and view transactions on the ledger. Permissioned ledgers are a hybrid of public and private, such that only authorised and trusted entities can view and participate in the activities within the ledger.</t>
  </si>
  <si>
    <t>Index-Linked Redemption</t>
  </si>
  <si>
    <r>
      <t>Specifies the name of the underlying platform used in the design and operation of the DLT and covers a range of services such as accessibility, conse</t>
    </r>
    <r>
      <rPr>
        <sz val="9"/>
        <color theme="1"/>
        <rFont val="Calibri"/>
        <family val="2"/>
        <scheme val="minor"/>
      </rPr>
      <t>ns</t>
    </r>
    <r>
      <rPr>
        <sz val="9"/>
        <rFont val="Calibri"/>
        <family val="2"/>
        <scheme val="minor"/>
      </rPr>
      <t>us mechanism, and governance. e.g. Ethereum, Hyperledger Besu, Hyperledger Fabric. This is a free text field that users can populate with their specific description.</t>
    </r>
  </si>
  <si>
    <t>ERC-20, ERC-2020</t>
  </si>
  <si>
    <t>Specifies the system which plays a role in the trading and clearing of securities or cash.</t>
  </si>
  <si>
    <t>Smallest amount by which the minimum denomination can be increased.</t>
  </si>
  <si>
    <t>When investors receive notes in exchange for the issuer receiving net proceeds.</t>
  </si>
  <si>
    <t xml:space="preserve">The ISIN of the benchmark bond used to price the note. </t>
  </si>
  <si>
    <t xml:space="preserve">The price of the benchmark bond used to price the note. </t>
  </si>
  <si>
    <t xml:space="preserve">The yield of the benchmark bond used to price the note. </t>
  </si>
  <si>
    <t>Categories of potential investors to which the notes are offered.</t>
  </si>
  <si>
    <t>The target market assessment in respect of the notes and which channels for distribution of the notes are appropriate.</t>
  </si>
  <si>
    <t xml:space="preserve">Indication of whether the terms and conditions of the note provide for a substitution or variation. Basic indication (not including any detail). </t>
  </si>
  <si>
    <t xml:space="preserve">Captures information relating to the seniority of the note. </t>
  </si>
  <si>
    <t xml:space="preserve">The contractual interest rate of the benchmark bond used to price the note. </t>
  </si>
  <si>
    <t xml:space="preserve">The maturity date of the benchmark bond used to price the note. </t>
  </si>
  <si>
    <t>The ticker of the benchmark bond used to price the note, eg DBR.</t>
  </si>
  <si>
    <t>ICMA Bond Data Taxonomy - Reference Sheet (02022024)</t>
  </si>
  <si>
    <t>Tokenisation Registrar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</si>
</sst>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yyyy\-mm\-dd;@"/>
  </numFmts>
  <fonts count="23" x14ac:knownFonts="1">
    <font>
      <sz val="11"/>
      <color theme="1"/>
      <name val="Calibri"/>
      <family val="2"/>
      <scheme val="minor"/>
    </font>
    <font>
      <b/>
      <sz val="11"/>
      <color theme="1"/>
      <name val="Calibri"/>
      <family val="2"/>
      <scheme val="minor"/>
    </font>
    <font>
      <u/>
      <sz val="11"/>
      <color theme="10"/>
      <name val="Calibri"/>
      <family val="2"/>
      <scheme val="minor"/>
    </font>
    <font>
      <sz val="16"/>
      <color theme="1"/>
      <name val="Calibri"/>
      <family val="2"/>
      <scheme val="minor"/>
    </font>
    <font>
      <i/>
      <sz val="8"/>
      <color theme="1"/>
      <name val="Calibri"/>
      <family val="2"/>
      <scheme val="minor"/>
    </font>
    <font>
      <i/>
      <sz val="11"/>
      <color theme="1"/>
      <name val="Calibri"/>
      <family val="2"/>
      <scheme val="minor"/>
    </font>
    <font>
      <i/>
      <sz val="10"/>
      <color theme="1"/>
      <name val="Calibri"/>
      <family val="2"/>
      <scheme val="minor"/>
    </font>
    <font>
      <u/>
      <sz val="10"/>
      <color theme="10"/>
      <name val="Calibri"/>
      <family val="2"/>
      <scheme val="minor"/>
    </font>
    <font>
      <b/>
      <i/>
      <sz val="11"/>
      <color theme="1"/>
      <name val="Calibri"/>
      <family val="2"/>
      <scheme val="minor"/>
    </font>
    <font>
      <i/>
      <sz val="9"/>
      <color theme="1"/>
      <name val="Calibri"/>
      <family val="2"/>
      <scheme val="minor"/>
    </font>
    <font>
      <b/>
      <sz val="9"/>
      <color theme="1"/>
      <name val="Calibri"/>
      <family val="2"/>
      <scheme val="minor"/>
    </font>
    <font>
      <b/>
      <i/>
      <sz val="9"/>
      <color theme="1"/>
      <name val="Calibri"/>
      <family val="2"/>
      <scheme val="minor"/>
    </font>
    <font>
      <b/>
      <sz val="9"/>
      <name val="Calibri"/>
      <family val="2"/>
      <scheme val="minor"/>
    </font>
    <font>
      <sz val="9"/>
      <name val="Calibri"/>
      <family val="2"/>
      <scheme val="minor"/>
    </font>
    <font>
      <b/>
      <sz val="11"/>
      <name val="Calibri"/>
      <family val="2"/>
      <scheme val="minor"/>
    </font>
    <font>
      <sz val="9"/>
      <color theme="1"/>
      <name val="Calibri"/>
      <family val="2"/>
      <scheme val="minor"/>
    </font>
    <font>
      <sz val="10"/>
      <color theme="1"/>
      <name val="Calibri"/>
      <family val="2"/>
      <scheme val="minor"/>
    </font>
    <font>
      <sz val="9"/>
      <color theme="3"/>
      <name val="Calibri"/>
      <family val="2"/>
      <scheme val="minor"/>
    </font>
    <font>
      <sz val="8"/>
      <color theme="1"/>
      <name val="Calibri"/>
      <family val="2"/>
      <scheme val="minor"/>
    </font>
    <font>
      <b/>
      <sz val="8"/>
      <color theme="1"/>
      <name val="Calibri"/>
      <family val="2"/>
      <scheme val="minor"/>
    </font>
    <font>
      <sz val="11"/>
      <name val="Calibri"/>
      <family val="2"/>
      <scheme val="minor"/>
    </font>
    <font>
      <b/>
      <sz val="10"/>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39997558519241921"/>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0" fontId="2" fillId="0" borderId="0" applyNumberFormat="0" applyFill="0" applyBorder="0" applyAlignment="0" applyProtection="0"/>
    <xf numFmtId="164" fontId="22" fillId="0" borderId="0" applyFont="0" applyFill="0" applyBorder="0" applyAlignment="0" applyProtection="0"/>
  </cellStyleXfs>
  <cellXfs count="137">
    <xf numFmtId="0" fontId="0" fillId="0" borderId="0" xfId="0"/>
    <xf numFmtId="0" fontId="0" fillId="2" borderId="0" xfId="0" applyFill="1"/>
    <xf numFmtId="0" fontId="1" fillId="7" borderId="4" xfId="0" applyFont="1" applyFill="1" applyBorder="1"/>
    <xf numFmtId="0" fontId="0" fillId="2" borderId="0" xfId="0" applyFill="1" applyAlignment="1">
      <alignment wrapText="1"/>
    </xf>
    <xf numFmtId="0" fontId="0" fillId="8" borderId="0" xfId="0" applyFill="1"/>
    <xf numFmtId="0" fontId="1" fillId="9" borderId="4" xfId="0" applyFont="1" applyFill="1" applyBorder="1"/>
    <xf numFmtId="0" fontId="1" fillId="8" borderId="0" xfId="1" applyFont="1" applyFill="1"/>
    <xf numFmtId="0" fontId="22" fillId="8" borderId="0" xfId="0" applyFont="1" applyFill="1"/>
    <xf numFmtId="0" fontId="1" fillId="9" borderId="0" xfId="0" applyFont="1" applyFill="1"/>
    <xf numFmtId="0" fontId="0" fillId="2" borderId="16" xfId="0" applyFill="1" applyBorder="1"/>
    <xf numFmtId="0" fontId="3" fillId="2" borderId="0" xfId="0" applyFont="1" applyFill="1"/>
    <xf numFmtId="0" fontId="1" fillId="2" borderId="0" xfId="0" applyFont="1" applyFill="1" applyAlignment="1">
      <alignment vertical="top" wrapText="1"/>
    </xf>
    <xf numFmtId="0" fontId="2" fillId="2" borderId="0" xfId="1" applyFill="1" applyProtection="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5" fillId="2" borderId="0" xfId="0" applyFont="1" applyFill="1" applyAlignment="1">
      <alignment horizontal="center" vertical="center"/>
    </xf>
    <xf numFmtId="0" fontId="7" fillId="0" borderId="0" xfId="1" applyFont="1" applyFill="1" applyProtection="1"/>
    <xf numFmtId="0" fontId="21" fillId="8" borderId="0" xfId="1" applyFont="1" applyFill="1" applyProtection="1"/>
    <xf numFmtId="0" fontId="4" fillId="0" borderId="0" xfId="0" applyFont="1" applyAlignment="1">
      <alignment horizontal="center" vertical="center"/>
    </xf>
    <xf numFmtId="0" fontId="4" fillId="0" borderId="0" xfId="0" applyFont="1" applyAlignment="1">
      <alignment horizontal="center" vertical="center" wrapText="1"/>
    </xf>
    <xf numFmtId="0" fontId="0" fillId="0" borderId="0" xfId="0" applyAlignment="1">
      <alignment wrapText="1"/>
    </xf>
    <xf numFmtId="0" fontId="1" fillId="2" borderId="0" xfId="0" applyFont="1" applyFill="1" applyAlignment="1">
      <alignment wrapText="1"/>
    </xf>
    <xf numFmtId="0" fontId="7" fillId="2" borderId="0" xfId="1" applyFont="1" applyFill="1" applyAlignment="1" applyProtection="1">
      <alignment wrapText="1"/>
    </xf>
    <xf numFmtId="0" fontId="8" fillId="3" borderId="1" xfId="0" applyFont="1" applyFill="1" applyBorder="1" applyAlignment="1">
      <alignment horizontal="left" vertical="center"/>
    </xf>
    <xf numFmtId="0" fontId="8"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xf>
    <xf numFmtId="0" fontId="6" fillId="3" borderId="5" xfId="0" applyFont="1" applyFill="1" applyBorder="1" applyAlignment="1">
      <alignment horizontal="left" vertical="center"/>
    </xf>
    <xf numFmtId="0" fontId="6" fillId="3" borderId="5"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0" fillId="4" borderId="5"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12" fillId="3" borderId="22" xfId="0" applyFont="1" applyFill="1" applyBorder="1" applyAlignment="1">
      <alignment horizontal="center" vertical="center" wrapText="1"/>
    </xf>
    <xf numFmtId="0" fontId="13" fillId="3" borderId="22" xfId="0" applyFont="1" applyFill="1" applyBorder="1" applyAlignment="1">
      <alignment horizontal="left" vertical="center"/>
    </xf>
    <xf numFmtId="0" fontId="12" fillId="3" borderId="22" xfId="0" applyFont="1" applyFill="1" applyBorder="1" applyAlignment="1">
      <alignment horizontal="left" vertical="center"/>
    </xf>
    <xf numFmtId="0" fontId="12" fillId="3" borderId="22" xfId="0" applyFont="1" applyFill="1" applyBorder="1" applyAlignment="1">
      <alignment horizontal="left" vertical="center" wrapText="1"/>
    </xf>
    <xf numFmtId="0" fontId="12" fillId="3" borderId="23" xfId="0" applyFont="1" applyFill="1" applyBorder="1" applyAlignment="1">
      <alignment horizontal="left" vertical="center"/>
    </xf>
    <xf numFmtId="0" fontId="12" fillId="5" borderId="3" xfId="0" applyFont="1" applyFill="1" applyBorder="1" applyAlignment="1">
      <alignment horizontal="left" vertical="center"/>
    </xf>
    <xf numFmtId="0" fontId="12" fillId="5" borderId="5" xfId="0" applyFont="1" applyFill="1" applyBorder="1" applyAlignment="1">
      <alignment horizontal="left" vertical="center"/>
    </xf>
    <xf numFmtId="0" fontId="14" fillId="5" borderId="8" xfId="0" applyFont="1" applyFill="1" applyBorder="1" applyAlignment="1">
      <alignment vertical="center" wrapText="1"/>
    </xf>
    <xf numFmtId="0" fontId="20" fillId="5" borderId="8" xfId="0" applyFont="1" applyFill="1" applyBorder="1" applyAlignment="1">
      <alignment horizontal="right" vertical="center" wrapText="1"/>
    </xf>
    <xf numFmtId="0" fontId="9" fillId="6" borderId="8" xfId="0" applyFont="1" applyFill="1" applyBorder="1" applyAlignment="1">
      <alignment horizontal="center" vertical="center"/>
    </xf>
    <xf numFmtId="0" fontId="9" fillId="5" borderId="9" xfId="0" applyFont="1" applyFill="1" applyBorder="1" applyAlignment="1">
      <alignment horizontal="center" vertical="center"/>
    </xf>
    <xf numFmtId="0" fontId="0" fillId="5" borderId="10" xfId="0" applyFill="1" applyBorder="1" applyAlignment="1">
      <alignment vertical="top" wrapText="1"/>
    </xf>
    <xf numFmtId="0" fontId="15" fillId="0" borderId="25" xfId="0" applyFont="1" applyBorder="1" applyAlignment="1">
      <alignment horizontal="left" vertical="center" wrapText="1"/>
    </xf>
    <xf numFmtId="0" fontId="13" fillId="2" borderId="26" xfId="0" applyFont="1" applyFill="1" applyBorder="1" applyAlignment="1">
      <alignment horizontal="left" vertical="center" wrapText="1"/>
    </xf>
    <xf numFmtId="0" fontId="13" fillId="2" borderId="5" xfId="0" applyFont="1" applyFill="1" applyBorder="1" applyAlignment="1">
      <alignment horizontal="left" vertical="center" wrapText="1"/>
    </xf>
    <xf numFmtId="16" fontId="13" fillId="2" borderId="27" xfId="0" quotePrefix="1" applyNumberFormat="1" applyFont="1" applyFill="1" applyBorder="1" applyAlignment="1">
      <alignment horizontal="left" vertical="center" wrapText="1"/>
    </xf>
    <xf numFmtId="0" fontId="15" fillId="5" borderId="3" xfId="0" applyFont="1" applyFill="1" applyBorder="1" applyAlignment="1">
      <alignment horizontal="left" vertical="center" wrapText="1"/>
    </xf>
    <xf numFmtId="0" fontId="13" fillId="5" borderId="5" xfId="0" applyFont="1" applyFill="1" applyBorder="1" applyAlignment="1">
      <alignment horizontal="left" vertical="center" wrapText="1"/>
    </xf>
    <xf numFmtId="0" fontId="14" fillId="5" borderId="9" xfId="0" applyFont="1" applyFill="1" applyBorder="1" applyAlignment="1">
      <alignment vertical="center" wrapText="1"/>
    </xf>
    <xf numFmtId="0" fontId="0" fillId="5" borderId="0" xfId="0" applyFill="1" applyAlignment="1">
      <alignment horizontal="right"/>
    </xf>
    <xf numFmtId="0" fontId="9" fillId="6" borderId="9" xfId="0" applyFont="1" applyFill="1" applyBorder="1" applyAlignment="1">
      <alignment horizontal="center" vertical="center"/>
    </xf>
    <xf numFmtId="0" fontId="0" fillId="5" borderId="11" xfId="0" applyFill="1" applyBorder="1" applyAlignment="1">
      <alignment vertical="top" wrapText="1"/>
    </xf>
    <xf numFmtId="0" fontId="15" fillId="0" borderId="6" xfId="0" applyFont="1" applyBorder="1" applyAlignment="1">
      <alignment horizontal="left" vertical="center" wrapText="1"/>
    </xf>
    <xf numFmtId="16" fontId="13" fillId="2" borderId="7" xfId="0" quotePrefix="1" applyNumberFormat="1" applyFont="1" applyFill="1" applyBorder="1" applyAlignment="1">
      <alignment horizontal="left" vertical="center" wrapText="1"/>
    </xf>
    <xf numFmtId="0" fontId="0" fillId="5" borderId="10" xfId="0" applyFill="1" applyBorder="1" applyAlignment="1">
      <alignment horizontal="right" vertical="center" wrapText="1"/>
    </xf>
    <xf numFmtId="0" fontId="15" fillId="5" borderId="10" xfId="0" applyFont="1" applyFill="1" applyBorder="1" applyAlignment="1">
      <alignment horizontal="center" vertical="center"/>
    </xf>
    <xf numFmtId="0" fontId="14" fillId="8" borderId="9" xfId="0" applyFont="1" applyFill="1" applyBorder="1" applyAlignment="1">
      <alignment vertical="center" wrapText="1"/>
    </xf>
    <xf numFmtId="164" fontId="0" fillId="5" borderId="10" xfId="2" applyFont="1" applyFill="1" applyBorder="1" applyAlignment="1" applyProtection="1">
      <alignment horizontal="right" vertical="center" wrapText="1"/>
    </xf>
    <xf numFmtId="0" fontId="5" fillId="5" borderId="10" xfId="0" applyFont="1" applyFill="1" applyBorder="1" applyAlignment="1">
      <alignment horizontal="right" vertical="center" wrapText="1"/>
    </xf>
    <xf numFmtId="0" fontId="9" fillId="8" borderId="9" xfId="0" applyFont="1" applyFill="1" applyBorder="1" applyAlignment="1">
      <alignment horizontal="center" vertical="center"/>
    </xf>
    <xf numFmtId="0" fontId="15" fillId="2" borderId="5" xfId="0" applyFont="1" applyFill="1" applyBorder="1" applyAlignment="1">
      <alignment horizontal="left" vertical="center" wrapText="1"/>
    </xf>
    <xf numFmtId="0" fontId="15" fillId="5" borderId="5" xfId="0" applyFont="1" applyFill="1" applyBorder="1" applyAlignment="1">
      <alignment horizontal="left" vertical="center" wrapText="1"/>
    </xf>
    <xf numFmtId="0" fontId="13" fillId="0" borderId="6" xfId="0" applyFont="1" applyBorder="1" applyAlignment="1">
      <alignment horizontal="left" vertical="center" wrapText="1"/>
    </xf>
    <xf numFmtId="0" fontId="13" fillId="8" borderId="5" xfId="0" applyFont="1" applyFill="1" applyBorder="1" applyAlignment="1">
      <alignment horizontal="left" vertical="center" wrapText="1"/>
    </xf>
    <xf numFmtId="9" fontId="0" fillId="5" borderId="10" xfId="0" applyNumberFormat="1" applyFill="1" applyBorder="1" applyAlignment="1">
      <alignment horizontal="right" vertical="center" wrapText="1"/>
    </xf>
    <xf numFmtId="9" fontId="0" fillId="5" borderId="10" xfId="0" applyNumberFormat="1" applyFill="1" applyBorder="1" applyAlignment="1">
      <alignment horizontal="left" vertical="center" wrapText="1"/>
    </xf>
    <xf numFmtId="0" fontId="15" fillId="0" borderId="5" xfId="0" applyFont="1" applyBorder="1" applyAlignment="1">
      <alignment horizontal="left" vertical="center" wrapText="1"/>
    </xf>
    <xf numFmtId="165" fontId="0" fillId="5" borderId="10" xfId="0" applyNumberFormat="1" applyFill="1" applyBorder="1" applyAlignment="1">
      <alignment horizontal="right" vertical="center" wrapText="1"/>
    </xf>
    <xf numFmtId="14" fontId="0" fillId="5" borderId="10" xfId="0" applyNumberFormat="1" applyFill="1" applyBorder="1" applyAlignment="1">
      <alignment horizontal="right" vertical="center" wrapText="1"/>
    </xf>
    <xf numFmtId="0" fontId="1" fillId="5" borderId="9" xfId="0" applyFont="1" applyFill="1" applyBorder="1" applyAlignment="1">
      <alignment vertical="center" wrapText="1"/>
    </xf>
    <xf numFmtId="16" fontId="13" fillId="2" borderId="7" xfId="0" applyNumberFormat="1" applyFont="1" applyFill="1" applyBorder="1" applyAlignment="1">
      <alignment horizontal="left" vertical="center" wrapText="1"/>
    </xf>
    <xf numFmtId="49" fontId="0" fillId="5" borderId="10" xfId="0" applyNumberFormat="1" applyFill="1" applyBorder="1" applyAlignment="1">
      <alignment horizontal="right" vertical="center" wrapText="1"/>
    </xf>
    <xf numFmtId="0" fontId="14" fillId="5" borderId="9" xfId="0" applyFont="1" applyFill="1" applyBorder="1" applyAlignment="1">
      <alignment horizontal="left" vertical="center" wrapText="1" indent="1"/>
    </xf>
    <xf numFmtId="0" fontId="13" fillId="5" borderId="3" xfId="0" applyFont="1" applyFill="1" applyBorder="1" applyAlignment="1">
      <alignment horizontal="left" vertical="center" wrapText="1"/>
    </xf>
    <xf numFmtId="0" fontId="0" fillId="5" borderId="10" xfId="0" applyFill="1" applyBorder="1" applyAlignment="1">
      <alignment horizontal="left" vertical="center" wrapText="1"/>
    </xf>
    <xf numFmtId="0" fontId="1" fillId="5" borderId="9" xfId="0" applyFont="1" applyFill="1" applyBorder="1" applyAlignment="1">
      <alignment horizontal="left" vertical="center" wrapText="1" indent="1"/>
    </xf>
    <xf numFmtId="0" fontId="16" fillId="8" borderId="0" xfId="0" applyFont="1" applyFill="1" applyAlignment="1">
      <alignment vertical="center" wrapText="1"/>
    </xf>
    <xf numFmtId="0" fontId="15" fillId="8" borderId="10" xfId="0" applyFont="1" applyFill="1" applyBorder="1" applyAlignment="1">
      <alignment horizontal="center" vertical="center"/>
    </xf>
    <xf numFmtId="0" fontId="13" fillId="0" borderId="5" xfId="0" applyFont="1" applyBorder="1" applyAlignment="1">
      <alignment horizontal="left" vertical="center" wrapText="1"/>
    </xf>
    <xf numFmtId="0" fontId="16" fillId="5" borderId="10" xfId="0" applyFont="1" applyFill="1" applyBorder="1" applyAlignment="1">
      <alignment horizontal="right" vertical="center" wrapText="1"/>
    </xf>
    <xf numFmtId="0" fontId="2" fillId="5" borderId="10" xfId="1" applyFill="1" applyBorder="1" applyAlignment="1" applyProtection="1">
      <alignment horizontal="right" vertical="center" wrapText="1"/>
    </xf>
    <xf numFmtId="0" fontId="17" fillId="2" borderId="5" xfId="0" applyFont="1" applyFill="1" applyBorder="1" applyAlignment="1">
      <alignment horizontal="left" vertical="center" wrapText="1"/>
    </xf>
    <xf numFmtId="0" fontId="0" fillId="5" borderId="0" xfId="0" applyFill="1" applyAlignment="1">
      <alignment horizontal="right" vertical="center" wrapText="1"/>
    </xf>
    <xf numFmtId="0" fontId="5" fillId="8" borderId="10" xfId="0" applyFont="1" applyFill="1" applyBorder="1" applyAlignment="1">
      <alignment vertical="center" wrapText="1"/>
    </xf>
    <xf numFmtId="165" fontId="1" fillId="8" borderId="10" xfId="0"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6" fillId="8" borderId="5" xfId="0" applyFont="1" applyFill="1" applyBorder="1" applyAlignment="1">
      <alignment vertical="center" wrapText="1"/>
    </xf>
    <xf numFmtId="165" fontId="0" fillId="5" borderId="10" xfId="0" applyNumberFormat="1" applyFill="1" applyBorder="1" applyAlignment="1">
      <alignment horizontal="left" vertical="center" wrapText="1"/>
    </xf>
    <xf numFmtId="0" fontId="15" fillId="0" borderId="12" xfId="0" applyFont="1" applyBorder="1" applyAlignment="1">
      <alignment horizontal="left" vertical="center" wrapText="1"/>
    </xf>
    <xf numFmtId="0" fontId="15" fillId="2" borderId="13"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3" fillId="0" borderId="13" xfId="0" applyFont="1" applyBorder="1" applyAlignment="1">
      <alignment horizontal="left" vertical="center" wrapText="1"/>
    </xf>
    <xf numFmtId="16" fontId="13" fillId="2" borderId="14" xfId="0" quotePrefix="1" applyNumberFormat="1" applyFont="1" applyFill="1" applyBorder="1" applyAlignment="1">
      <alignment horizontal="left" vertical="center" wrapText="1"/>
    </xf>
    <xf numFmtId="165" fontId="1" fillId="0" borderId="0" xfId="0" applyNumberFormat="1" applyFont="1" applyAlignment="1">
      <alignment horizontal="left" vertical="center" wrapText="1"/>
    </xf>
    <xf numFmtId="165" fontId="0" fillId="0" borderId="0" xfId="0" applyNumberFormat="1" applyAlignment="1">
      <alignment horizontal="left" vertical="center" wrapText="1"/>
    </xf>
    <xf numFmtId="0" fontId="9" fillId="0" borderId="0" xfId="0"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left" vertical="center" wrapText="1"/>
    </xf>
    <xf numFmtId="16" fontId="13" fillId="0" borderId="0" xfId="0" quotePrefix="1" applyNumberFormat="1" applyFont="1" applyAlignment="1">
      <alignment horizontal="left" vertical="center" wrapText="1"/>
    </xf>
    <xf numFmtId="0" fontId="0" fillId="0" borderId="0" xfId="0" applyAlignment="1">
      <alignment vertical="center"/>
    </xf>
    <xf numFmtId="0" fontId="14" fillId="2" borderId="0" xfId="0" applyFont="1" applyFill="1" applyAlignment="1">
      <alignment vertical="top" wrapText="1"/>
    </xf>
    <xf numFmtId="0" fontId="0" fillId="2" borderId="0" xfId="0" applyFill="1" applyAlignment="1">
      <alignment vertical="top" wrapText="1"/>
    </xf>
    <xf numFmtId="0" fontId="20" fillId="2" borderId="0" xfId="0" applyFont="1" applyFill="1"/>
    <xf numFmtId="0" fontId="20" fillId="2" borderId="0" xfId="0" applyFont="1" applyFill="1" applyAlignment="1">
      <alignment wrapText="1"/>
    </xf>
    <xf numFmtId="0" fontId="16" fillId="0" borderId="0" xfId="0" applyFont="1" applyAlignment="1">
      <alignment vertical="center" wrapText="1"/>
    </xf>
    <xf numFmtId="0" fontId="8" fillId="5" borderId="15"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20" xfId="0" applyFont="1" applyFill="1" applyBorder="1" applyAlignment="1">
      <alignment horizontal="center" vertical="center" wrapText="1"/>
    </xf>
    <xf numFmtId="0" fontId="8" fillId="5" borderId="21" xfId="0" applyFont="1" applyFill="1" applyBorder="1" applyAlignment="1">
      <alignment horizontal="center" vertical="center" wrapText="1"/>
    </xf>
    <xf numFmtId="0" fontId="18" fillId="2" borderId="15" xfId="0" applyFont="1" applyFill="1" applyBorder="1" applyAlignment="1">
      <alignment horizontal="left" vertical="center" wrapText="1"/>
    </xf>
    <xf numFmtId="0" fontId="18" fillId="2" borderId="16" xfId="0" applyFont="1" applyFill="1" applyBorder="1" applyAlignment="1">
      <alignment horizontal="left" vertical="center" wrapText="1"/>
    </xf>
    <xf numFmtId="0" fontId="18" fillId="2" borderId="17" xfId="0" applyFont="1" applyFill="1" applyBorder="1" applyAlignment="1">
      <alignment horizontal="left" vertical="center" wrapText="1"/>
    </xf>
    <xf numFmtId="0" fontId="18" fillId="2" borderId="18" xfId="0" applyFont="1" applyFill="1" applyBorder="1" applyAlignment="1">
      <alignment horizontal="left" vertical="center" wrapText="1"/>
    </xf>
    <xf numFmtId="0" fontId="18" fillId="2" borderId="0" xfId="0" applyFont="1" applyFill="1" applyAlignment="1">
      <alignment horizontal="left" vertical="center" wrapText="1"/>
    </xf>
    <xf numFmtId="0" fontId="18" fillId="2" borderId="19" xfId="0" applyFont="1" applyFill="1" applyBorder="1" applyAlignment="1">
      <alignment horizontal="left" vertical="center" wrapText="1"/>
    </xf>
    <xf numFmtId="0" fontId="18" fillId="2" borderId="20" xfId="0" applyFont="1" applyFill="1" applyBorder="1" applyAlignment="1">
      <alignment horizontal="left" vertical="center" wrapText="1"/>
    </xf>
    <xf numFmtId="0" fontId="18" fillId="2" borderId="4" xfId="0" applyFont="1" applyFill="1" applyBorder="1" applyAlignment="1">
      <alignment horizontal="left" vertical="center" wrapText="1"/>
    </xf>
    <xf numFmtId="0" fontId="18" fillId="2" borderId="21" xfId="0" applyFont="1" applyFill="1" applyBorder="1" applyAlignment="1">
      <alignment horizontal="left" vertical="center" wrapText="1"/>
    </xf>
    <xf numFmtId="0" fontId="6" fillId="2" borderId="0" xfId="0" applyFont="1" applyFill="1" applyAlignment="1">
      <alignment horizontal="left" vertical="center" wrapText="1"/>
    </xf>
    <xf numFmtId="0" fontId="9" fillId="4" borderId="1" xfId="0" applyFont="1" applyFill="1" applyBorder="1" applyAlignment="1">
      <alignment horizontal="center" vertical="center" wrapText="1"/>
    </xf>
    <xf numFmtId="165" fontId="1" fillId="0" borderId="0" xfId="0" applyNumberFormat="1" applyFont="1" applyAlignment="1">
      <alignment horizontal="left" vertical="center" wrapText="1"/>
    </xf>
    <xf numFmtId="0" fontId="0" fillId="0" borderId="0" xfId="0" applyAlignment="1">
      <alignment vertical="center" wrapText="1"/>
    </xf>
    <xf numFmtId="0" fontId="0" fillId="0" borderId="0" xfId="0" applyAlignment="1">
      <alignment vertical="center"/>
    </xf>
    <xf numFmtId="165" fontId="0" fillId="0" borderId="0" xfId="0" applyNumberFormat="1" applyAlignment="1">
      <alignment horizontal="left" vertical="center" wrapText="1" indent="2"/>
    </xf>
    <xf numFmtId="0" fontId="0" fillId="0" borderId="0" xfId="0" applyAlignment="1">
      <alignment horizontal="left" vertical="center" indent="2"/>
    </xf>
    <xf numFmtId="165" fontId="1" fillId="0" borderId="4" xfId="0" applyNumberFormat="1" applyFont="1" applyBorder="1" applyAlignment="1">
      <alignment horizontal="left" vertical="center" wrapText="1"/>
    </xf>
    <xf numFmtId="0" fontId="0" fillId="0" borderId="4" xfId="0" applyBorder="1" applyAlignment="1">
      <alignment vertical="center"/>
    </xf>
    <xf numFmtId="165" fontId="1" fillId="0" borderId="16" xfId="0" applyNumberFormat="1" applyFont="1" applyBorder="1" applyAlignment="1">
      <alignment horizontal="left" vertical="center" wrapText="1" indent="2"/>
    </xf>
    <xf numFmtId="0" fontId="0" fillId="0" borderId="16" xfId="0" applyBorder="1" applyAlignment="1">
      <alignment horizontal="left" vertical="center" indent="2"/>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194733</xdr:colOff>
      <xdr:row>0</xdr:row>
      <xdr:rowOff>110065</xdr:rowOff>
    </xdr:from>
    <xdr:to>
      <xdr:col>0</xdr:col>
      <xdr:colOff>1222218</xdr:colOff>
      <xdr:row>5</xdr:row>
      <xdr:rowOff>29057</xdr:rowOff>
    </xdr:to>
    <xdr:pic>
      <xdr:nvPicPr>
        <xdr:cNvPr id="2" name="Picture 1" descr="v2_ICMA_cmyk_pos Stacked (sml).jpg">
          <a:extLst>
            <a:ext uri="{FF2B5EF4-FFF2-40B4-BE49-F238E27FC236}">
              <a16:creationId xmlns:a16="http://schemas.microsoft.com/office/drawing/2014/main" id="{2D873360-8922-4A57-99F2-795030A167EB}"/>
            </a:ext>
          </a:extLst>
        </xdr:cNvPr>
        <xdr:cNvPicPr>
          <a:picLocks noChangeAspect="1"/>
        </xdr:cNvPicPr>
      </xdr:nvPicPr>
      <xdr:blipFill>
        <a:blip xmlns:r="http://schemas.openxmlformats.org/officeDocument/2006/relationships" r:embed="rId1" cstate="print"/>
        <a:stretch>
          <a:fillRect/>
        </a:stretch>
      </xdr:blipFill>
      <xdr:spPr>
        <a:xfrm>
          <a:off x="194733" y="110065"/>
          <a:ext cx="1027485" cy="924832"/>
        </a:xfrm>
        <a:prstGeom prst="rect">
          <a:avLst/>
        </a:prstGeom>
      </xdr:spPr>
    </xdr:pic>
    <xdr:clientData/>
  </xdr:twoCellAnchor>
  <xdr:twoCellAnchor editAs="oneCell">
    <xdr:from>
      <xdr:col>0</xdr:col>
      <xdr:colOff>194733</xdr:colOff>
      <xdr:row>0</xdr:row>
      <xdr:rowOff>110065</xdr:rowOff>
    </xdr:from>
    <xdr:to>
      <xdr:col>0</xdr:col>
      <xdr:colOff>1222218</xdr:colOff>
      <xdr:row>5</xdr:row>
      <xdr:rowOff>29057</xdr:rowOff>
    </xdr:to>
    <xdr:pic>
      <xdr:nvPicPr>
        <xdr:cNvPr id="3" name="Picture 2" descr="v2_ICMA_cmyk_pos Stacked (sml).jpg">
          <a:extLst>
            <a:ext uri="{FF2B5EF4-FFF2-40B4-BE49-F238E27FC236}">
              <a16:creationId xmlns:a16="http://schemas.microsoft.com/office/drawing/2014/main" id="{39FCDCE8-E5DA-43CF-8390-1ED321446A5D}"/>
            </a:ext>
          </a:extLst>
        </xdr:cNvPr>
        <xdr:cNvPicPr>
          <a:picLocks noChangeAspect="1"/>
        </xdr:cNvPicPr>
      </xdr:nvPicPr>
      <xdr:blipFill>
        <a:blip xmlns:r="http://schemas.openxmlformats.org/officeDocument/2006/relationships" r:embed="rId1" cstate="print"/>
        <a:stretch>
          <a:fillRect/>
        </a:stretch>
      </xdr:blipFill>
      <xdr:spPr>
        <a:xfrm>
          <a:off x="194733" y="110065"/>
          <a:ext cx="1027485" cy="9476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ument/" TargetMode="External"/><Relationship Id="rId1" Type="http://schemas.openxmlformats.org/officeDocument/2006/relationships/hyperlink" Target="https://www.icmagroup.org/market-practice-and-regulatory-policy/fintech-and-digitalisation/fintech-advisory-committee-and-related-groups/bond-data-taxonomy/icma-bond-data-taxonomy-pac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B3140-D599-4792-BF46-D6045E81B0E4}">
  <sheetPr>
    <tabColor theme="3" tint="0.59999389629810485"/>
    <pageSetUpPr fitToPage="1"/>
  </sheetPr>
  <dimension ref="A1:O161"/>
  <sheetViews>
    <sheetView tabSelected="1"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defaultColWidth="12.5703125" defaultRowHeight="15" x14ac:dyDescent="0.25"/>
  <cols>
    <col min="1" max="1" width="36.42578125" style="1" customWidth="1"/>
    <col min="2" max="2" width="31.5703125" style="1" customWidth="1"/>
    <col min="3" max="3" width="11.85546875" style="1" customWidth="1"/>
    <col min="4" max="4" width="14.28515625" style="1" customWidth="1"/>
    <col min="5" max="5" width="14.140625" style="1" customWidth="1"/>
    <col min="6" max="6" width="23.42578125" style="1" customWidth="1"/>
    <col min="7" max="7" width="18" style="110" customWidth="1"/>
    <col min="8" max="8" width="29.140625" style="110" customWidth="1"/>
    <col min="9" max="9" width="29" style="110" customWidth="1"/>
    <col min="10" max="10" width="17.28515625" style="110" customWidth="1"/>
    <col min="11" max="11" width="36.85546875" style="110" customWidth="1"/>
    <col min="12" max="12" width="49.7109375" style="111" customWidth="1"/>
    <col min="13" max="13" width="17.7109375" style="110" customWidth="1"/>
    <col min="14" max="14" width="30.85546875" style="1" customWidth="1"/>
    <col min="15" max="15" width="22.5703125" style="110" customWidth="1"/>
    <col min="16" max="16384" width="12.5703125" style="1"/>
  </cols>
  <sheetData>
    <row r="1" spans="1:15" ht="21" x14ac:dyDescent="0.35">
      <c r="B1" s="10" t="s">
        <v>683</v>
      </c>
      <c r="G1" s="1"/>
      <c r="H1" s="1"/>
      <c r="I1" s="1"/>
      <c r="J1" s="1"/>
      <c r="K1" s="1"/>
      <c r="L1" s="3"/>
      <c r="M1" s="1"/>
      <c r="O1" s="1"/>
    </row>
    <row r="2" spans="1:15" x14ac:dyDescent="0.25">
      <c r="A2" s="11"/>
      <c r="B2" s="12" t="s">
        <v>3</v>
      </c>
      <c r="C2" s="13"/>
      <c r="D2" s="13"/>
      <c r="E2" s="14"/>
      <c r="F2" s="13"/>
      <c r="G2" s="15"/>
      <c r="H2" s="15"/>
      <c r="I2" s="15"/>
      <c r="J2" s="1"/>
      <c r="K2" s="1"/>
      <c r="L2" s="3"/>
      <c r="M2" s="1"/>
      <c r="O2" s="1"/>
    </row>
    <row r="3" spans="1:15" x14ac:dyDescent="0.25">
      <c r="B3" s="126" t="s">
        <v>531</v>
      </c>
      <c r="C3" s="126"/>
      <c r="D3" s="126"/>
      <c r="E3" s="126"/>
      <c r="F3" s="13"/>
      <c r="G3" s="13"/>
      <c r="H3" s="15"/>
      <c r="I3" s="13"/>
      <c r="J3" s="15"/>
      <c r="K3" s="1"/>
      <c r="L3" s="3"/>
      <c r="M3" s="1"/>
      <c r="O3" s="1"/>
    </row>
    <row r="4" spans="1:15" ht="15" customHeight="1" x14ac:dyDescent="0.25">
      <c r="B4" s="126"/>
      <c r="C4" s="126"/>
      <c r="D4" s="126"/>
      <c r="E4" s="126"/>
      <c r="F4" s="13"/>
      <c r="G4" s="13"/>
      <c r="H4" s="15"/>
      <c r="I4" s="13"/>
      <c r="J4" s="15"/>
      <c r="K4" s="1"/>
      <c r="L4" s="3"/>
      <c r="M4" s="1"/>
      <c r="O4" s="1"/>
    </row>
    <row r="5" spans="1:15" x14ac:dyDescent="0.25">
      <c r="B5" s="126"/>
      <c r="C5" s="126"/>
      <c r="D5" s="126"/>
      <c r="E5" s="126"/>
      <c r="F5" s="13"/>
      <c r="G5" s="13"/>
      <c r="H5" s="15"/>
      <c r="I5" s="13"/>
      <c r="J5" s="15"/>
      <c r="K5" s="1"/>
      <c r="L5" s="3"/>
      <c r="M5" s="1"/>
      <c r="O5" s="1"/>
    </row>
    <row r="6" spans="1:15" ht="17.25" customHeight="1" x14ac:dyDescent="0.25">
      <c r="B6" s="126"/>
      <c r="C6" s="126"/>
      <c r="D6" s="126"/>
      <c r="E6" s="126"/>
      <c r="F6" s="13"/>
      <c r="G6" s="13"/>
      <c r="H6" s="15"/>
      <c r="I6" s="13"/>
      <c r="J6" s="15"/>
      <c r="K6" s="1"/>
      <c r="L6" s="3"/>
      <c r="M6" s="1"/>
      <c r="O6" s="1"/>
    </row>
    <row r="7" spans="1:15" x14ac:dyDescent="0.25">
      <c r="B7" s="16" t="s">
        <v>4</v>
      </c>
      <c r="C7" s="13"/>
      <c r="D7" s="13"/>
      <c r="E7" s="14"/>
      <c r="F7" s="13"/>
      <c r="G7" s="13"/>
      <c r="H7" s="15"/>
      <c r="I7" s="13"/>
      <c r="J7" s="15"/>
      <c r="K7" s="1"/>
      <c r="L7" s="3"/>
      <c r="M7" s="1"/>
      <c r="O7" s="1"/>
    </row>
    <row r="8" spans="1:15" x14ac:dyDescent="0.25">
      <c r="B8" s="16"/>
      <c r="C8" s="13"/>
      <c r="D8" s="13"/>
      <c r="E8" s="14"/>
      <c r="F8" s="13"/>
      <c r="G8" s="13"/>
      <c r="H8" s="15"/>
      <c r="I8" s="13"/>
      <c r="J8" s="15"/>
      <c r="K8" s="1"/>
      <c r="L8" s="3"/>
      <c r="M8" s="1"/>
      <c r="O8" s="1"/>
    </row>
    <row r="9" spans="1:15" x14ac:dyDescent="0.25">
      <c r="B9" s="17" t="s">
        <v>607</v>
      </c>
      <c r="C9" s="18"/>
      <c r="D9" s="18"/>
      <c r="E9" s="19"/>
      <c r="F9" s="18"/>
      <c r="G9" s="13"/>
      <c r="H9" s="15"/>
      <c r="I9" s="13"/>
      <c r="J9" s="15"/>
      <c r="K9" s="1"/>
      <c r="L9" s="3"/>
      <c r="M9" s="1"/>
      <c r="O9" s="1"/>
    </row>
    <row r="10" spans="1:15" customFormat="1" x14ac:dyDescent="0.25">
      <c r="L10" s="20"/>
    </row>
    <row r="11" spans="1:15" x14ac:dyDescent="0.25">
      <c r="A11" s="21"/>
      <c r="B11" s="22"/>
      <c r="C11" s="13"/>
      <c r="D11" s="13"/>
      <c r="E11" s="13"/>
      <c r="F11" s="23" t="s">
        <v>5</v>
      </c>
      <c r="G11" s="24"/>
      <c r="H11" s="24"/>
      <c r="I11" s="24"/>
      <c r="J11" s="24"/>
      <c r="K11" s="24"/>
      <c r="L11" s="25"/>
      <c r="M11" s="26"/>
      <c r="N11" s="113" t="s">
        <v>9</v>
      </c>
      <c r="O11" s="114"/>
    </row>
    <row r="12" spans="1:15" x14ac:dyDescent="0.25">
      <c r="A12" s="127" t="s">
        <v>6</v>
      </c>
      <c r="B12" s="127"/>
      <c r="C12" s="127"/>
      <c r="D12" s="127"/>
      <c r="E12" s="127"/>
      <c r="F12" s="27" t="s">
        <v>7</v>
      </c>
      <c r="G12" s="28"/>
      <c r="H12" s="29" t="s">
        <v>8</v>
      </c>
      <c r="I12" s="30"/>
      <c r="J12" s="30"/>
      <c r="K12" s="30"/>
      <c r="L12" s="31"/>
      <c r="M12" s="30"/>
      <c r="N12" s="115"/>
      <c r="O12" s="116"/>
    </row>
    <row r="13" spans="1:15" customFormat="1" ht="15.75" thickBot="1" x14ac:dyDescent="0.3">
      <c r="A13" s="32" t="s">
        <v>634</v>
      </c>
      <c r="B13" s="33" t="s">
        <v>10</v>
      </c>
      <c r="C13" s="34" t="s">
        <v>635</v>
      </c>
      <c r="D13" s="34" t="s">
        <v>11</v>
      </c>
      <c r="E13" s="35" t="s">
        <v>642</v>
      </c>
      <c r="F13" s="36" t="s">
        <v>12</v>
      </c>
      <c r="G13" s="37" t="s">
        <v>13</v>
      </c>
      <c r="H13" s="37" t="s">
        <v>14</v>
      </c>
      <c r="I13" s="37" t="s">
        <v>15</v>
      </c>
      <c r="J13" s="38" t="s">
        <v>16</v>
      </c>
      <c r="K13" s="39" t="s">
        <v>17</v>
      </c>
      <c r="L13" s="40" t="s">
        <v>18</v>
      </c>
      <c r="M13" s="41" t="s">
        <v>19</v>
      </c>
      <c r="N13" s="42" t="s">
        <v>20</v>
      </c>
      <c r="O13" s="43" t="s">
        <v>21</v>
      </c>
    </row>
    <row r="14" spans="1:15" ht="84.75" customHeight="1" x14ac:dyDescent="0.25">
      <c r="A14" s="44" t="s">
        <v>22</v>
      </c>
      <c r="B14" s="45" t="s">
        <v>23</v>
      </c>
      <c r="C14" s="46" t="s">
        <v>24</v>
      </c>
      <c r="D14" s="47" t="s">
        <v>25</v>
      </c>
      <c r="E14" s="48"/>
      <c r="F14" s="49" t="s">
        <v>26</v>
      </c>
      <c r="G14" s="50" t="s">
        <v>26</v>
      </c>
      <c r="H14" s="50" t="s">
        <v>27</v>
      </c>
      <c r="I14" s="50" t="s">
        <v>28</v>
      </c>
      <c r="J14" s="50" t="s">
        <v>29</v>
      </c>
      <c r="K14" s="50" t="s">
        <v>30</v>
      </c>
      <c r="L14" s="51" t="s">
        <v>31</v>
      </c>
      <c r="M14" s="52" t="str">
        <f t="shared" ref="M14:M15" si="0">IF(E14="x","0","1")&amp;".."&amp;(IF(C14="list","n","1"))</f>
        <v>1..1</v>
      </c>
      <c r="N14" s="53" t="s">
        <v>32</v>
      </c>
      <c r="O14" s="54" t="s">
        <v>33</v>
      </c>
    </row>
    <row r="15" spans="1:15" ht="19.5" customHeight="1" x14ac:dyDescent="0.25">
      <c r="A15" s="55" t="s">
        <v>34</v>
      </c>
      <c r="B15" s="56" t="s">
        <v>35</v>
      </c>
      <c r="C15" s="57" t="s">
        <v>36</v>
      </c>
      <c r="D15" s="47" t="s">
        <v>25</v>
      </c>
      <c r="E15" s="58"/>
      <c r="F15" s="59" t="s">
        <v>26</v>
      </c>
      <c r="G15" s="51" t="s">
        <v>26</v>
      </c>
      <c r="H15" s="51" t="s">
        <v>37</v>
      </c>
      <c r="I15" s="51" t="s">
        <v>37</v>
      </c>
      <c r="J15" s="51" t="s">
        <v>29</v>
      </c>
      <c r="K15" s="51" t="s">
        <v>38</v>
      </c>
      <c r="L15" s="51" t="s">
        <v>31</v>
      </c>
      <c r="M15" s="60" t="str">
        <f t="shared" si="0"/>
        <v>1..1</v>
      </c>
      <c r="N15" s="53" t="s">
        <v>39</v>
      </c>
      <c r="O15" s="54" t="s">
        <v>37</v>
      </c>
    </row>
    <row r="16" spans="1:15" x14ac:dyDescent="0.25">
      <c r="A16" s="55" t="s">
        <v>40</v>
      </c>
      <c r="B16" s="61"/>
      <c r="C16" s="57" t="s">
        <v>24</v>
      </c>
      <c r="D16" s="47" t="s">
        <v>25</v>
      </c>
      <c r="E16" s="62" t="s">
        <v>41</v>
      </c>
      <c r="F16" s="59" t="s">
        <v>26</v>
      </c>
      <c r="G16" s="51" t="s">
        <v>26</v>
      </c>
      <c r="H16" s="51" t="s">
        <v>42</v>
      </c>
      <c r="I16" s="51" t="s">
        <v>42</v>
      </c>
      <c r="J16" s="51" t="s">
        <v>29</v>
      </c>
      <c r="K16" s="51"/>
      <c r="L16" s="51" t="s">
        <v>31</v>
      </c>
      <c r="M16" s="60" t="str">
        <f>IF(E16="x","0","1")&amp;".."&amp;(IF(C16="list","n","1"))</f>
        <v>0..1</v>
      </c>
      <c r="N16" s="53" t="s">
        <v>43</v>
      </c>
      <c r="O16" s="54" t="s">
        <v>43</v>
      </c>
    </row>
    <row r="17" spans="1:15" ht="42.75" customHeight="1" x14ac:dyDescent="0.25">
      <c r="A17" s="55" t="s">
        <v>44</v>
      </c>
      <c r="B17" s="61" t="s">
        <v>615</v>
      </c>
      <c r="C17" s="57" t="s">
        <v>24</v>
      </c>
      <c r="D17" s="47" t="s">
        <v>25</v>
      </c>
      <c r="E17" s="62" t="s">
        <v>41</v>
      </c>
      <c r="F17" s="59" t="s">
        <v>26</v>
      </c>
      <c r="G17" s="51" t="s">
        <v>26</v>
      </c>
      <c r="H17" s="51" t="s">
        <v>27</v>
      </c>
      <c r="I17" s="51" t="s">
        <v>28</v>
      </c>
      <c r="J17" s="51" t="s">
        <v>29</v>
      </c>
      <c r="K17" s="51" t="s">
        <v>30</v>
      </c>
      <c r="L17" s="51" t="s">
        <v>31</v>
      </c>
      <c r="M17" s="60" t="str">
        <f>IF(E17="x","0","1")&amp;".."&amp;(IF(C17="list","n","1"))</f>
        <v>0..1</v>
      </c>
      <c r="N17" s="53" t="s">
        <v>32</v>
      </c>
      <c r="O17" s="54" t="s">
        <v>33</v>
      </c>
    </row>
    <row r="18" spans="1:15" x14ac:dyDescent="0.25">
      <c r="A18" s="55" t="s">
        <v>45</v>
      </c>
      <c r="B18" s="61" t="s">
        <v>616</v>
      </c>
      <c r="C18" s="57" t="s">
        <v>36</v>
      </c>
      <c r="D18" s="47" t="s">
        <v>25</v>
      </c>
      <c r="E18" s="62" t="s">
        <v>41</v>
      </c>
      <c r="F18" s="59" t="s">
        <v>26</v>
      </c>
      <c r="G18" s="51" t="s">
        <v>26</v>
      </c>
      <c r="H18" s="51" t="s">
        <v>37</v>
      </c>
      <c r="I18" s="51" t="s">
        <v>37</v>
      </c>
      <c r="J18" s="51" t="s">
        <v>29</v>
      </c>
      <c r="K18" s="51" t="s">
        <v>38</v>
      </c>
      <c r="L18" s="51" t="s">
        <v>31</v>
      </c>
      <c r="M18" s="60" t="str">
        <f t="shared" ref="M18:M93" si="1">IF(E18="x","0","1")&amp;".."&amp;(IF(C18="list","n","1"))</f>
        <v>0..1</v>
      </c>
      <c r="N18" s="53" t="s">
        <v>39</v>
      </c>
      <c r="O18" s="54" t="s">
        <v>37</v>
      </c>
    </row>
    <row r="19" spans="1:15" x14ac:dyDescent="0.25">
      <c r="A19" s="55" t="s">
        <v>46</v>
      </c>
      <c r="B19" s="61">
        <v>472</v>
      </c>
      <c r="C19" s="57" t="s">
        <v>24</v>
      </c>
      <c r="D19" s="47" t="s">
        <v>25</v>
      </c>
      <c r="E19" s="62" t="s">
        <v>41</v>
      </c>
      <c r="F19" s="59" t="s">
        <v>47</v>
      </c>
      <c r="G19" s="51" t="s">
        <v>47</v>
      </c>
      <c r="H19" s="51" t="s">
        <v>547</v>
      </c>
      <c r="I19" s="51" t="s">
        <v>29</v>
      </c>
      <c r="J19" s="51" t="s">
        <v>29</v>
      </c>
      <c r="K19" s="51"/>
      <c r="L19" s="51" t="s">
        <v>31</v>
      </c>
      <c r="M19" s="60" t="str">
        <f t="shared" si="1"/>
        <v>0..1</v>
      </c>
      <c r="N19" s="53" t="s">
        <v>547</v>
      </c>
      <c r="O19" s="54" t="s">
        <v>48</v>
      </c>
    </row>
    <row r="20" spans="1:15" x14ac:dyDescent="0.25">
      <c r="A20" s="63" t="s">
        <v>528</v>
      </c>
      <c r="B20" s="64">
        <v>750000000</v>
      </c>
      <c r="C20" s="57" t="s">
        <v>36</v>
      </c>
      <c r="D20" s="47" t="s">
        <v>100</v>
      </c>
      <c r="E20" s="62" t="s">
        <v>41</v>
      </c>
      <c r="F20" s="59" t="s">
        <v>47</v>
      </c>
      <c r="G20" s="51" t="s">
        <v>47</v>
      </c>
      <c r="H20" s="51" t="s">
        <v>548</v>
      </c>
      <c r="I20" s="51" t="s">
        <v>102</v>
      </c>
      <c r="J20" s="51" t="s">
        <v>102</v>
      </c>
      <c r="K20" s="51"/>
      <c r="L20" s="51"/>
      <c r="M20" s="60" t="str">
        <f t="shared" si="1"/>
        <v>0..1</v>
      </c>
      <c r="N20" s="53" t="s">
        <v>550</v>
      </c>
      <c r="O20" s="54" t="s">
        <v>104</v>
      </c>
    </row>
    <row r="21" spans="1:15" x14ac:dyDescent="0.25">
      <c r="A21" s="55" t="s">
        <v>49</v>
      </c>
      <c r="B21" s="61">
        <v>1</v>
      </c>
      <c r="C21" s="57" t="s">
        <v>24</v>
      </c>
      <c r="D21" s="47" t="s">
        <v>25</v>
      </c>
      <c r="E21" s="62" t="s">
        <v>41</v>
      </c>
      <c r="F21" s="59" t="s">
        <v>47</v>
      </c>
      <c r="G21" s="51" t="s">
        <v>47</v>
      </c>
      <c r="H21" s="51" t="s">
        <v>51</v>
      </c>
      <c r="I21" s="51" t="s">
        <v>29</v>
      </c>
      <c r="J21" s="51" t="s">
        <v>52</v>
      </c>
      <c r="K21" s="51"/>
      <c r="L21" s="51" t="s">
        <v>31</v>
      </c>
      <c r="M21" s="60" t="str">
        <f t="shared" si="1"/>
        <v>0..1</v>
      </c>
      <c r="N21" s="53" t="s">
        <v>43</v>
      </c>
      <c r="O21" s="54" t="s">
        <v>43</v>
      </c>
    </row>
    <row r="22" spans="1:15" x14ac:dyDescent="0.25">
      <c r="A22" s="63" t="s">
        <v>529</v>
      </c>
      <c r="B22" s="64">
        <v>750000000</v>
      </c>
      <c r="C22" s="57" t="s">
        <v>36</v>
      </c>
      <c r="D22" s="47" t="s">
        <v>100</v>
      </c>
      <c r="E22" s="62" t="s">
        <v>41</v>
      </c>
      <c r="F22" s="59" t="s">
        <v>47</v>
      </c>
      <c r="G22" s="51" t="s">
        <v>47</v>
      </c>
      <c r="H22" s="51" t="s">
        <v>549</v>
      </c>
      <c r="I22" s="51" t="s">
        <v>102</v>
      </c>
      <c r="J22" s="51" t="s">
        <v>102</v>
      </c>
      <c r="K22" s="51"/>
      <c r="L22" s="51"/>
      <c r="M22" s="60" t="str">
        <f t="shared" si="1"/>
        <v>0..1</v>
      </c>
      <c r="N22" s="53" t="s">
        <v>550</v>
      </c>
      <c r="O22" s="54" t="s">
        <v>104</v>
      </c>
    </row>
    <row r="23" spans="1:15" x14ac:dyDescent="0.25">
      <c r="A23" s="55" t="s">
        <v>53</v>
      </c>
      <c r="B23" s="61" t="s">
        <v>54</v>
      </c>
      <c r="C23" s="57" t="s">
        <v>55</v>
      </c>
      <c r="D23" s="47" t="s">
        <v>25</v>
      </c>
      <c r="E23" s="62"/>
      <c r="F23" s="59" t="s">
        <v>26</v>
      </c>
      <c r="G23" s="51" t="s">
        <v>56</v>
      </c>
      <c r="H23" s="51" t="s">
        <v>57</v>
      </c>
      <c r="I23" s="51" t="s">
        <v>57</v>
      </c>
      <c r="J23" s="51" t="s">
        <v>29</v>
      </c>
      <c r="K23" s="51"/>
      <c r="L23" s="51" t="s">
        <v>31</v>
      </c>
      <c r="M23" s="60" t="str">
        <f t="shared" si="1"/>
        <v>1..n</v>
      </c>
      <c r="N23" s="53" t="s">
        <v>43</v>
      </c>
      <c r="O23" s="54" t="s">
        <v>43</v>
      </c>
    </row>
    <row r="24" spans="1:15" x14ac:dyDescent="0.25">
      <c r="A24" s="55" t="s">
        <v>58</v>
      </c>
      <c r="B24" s="61" t="s">
        <v>59</v>
      </c>
      <c r="C24" s="57" t="s">
        <v>24</v>
      </c>
      <c r="D24" s="47" t="s">
        <v>25</v>
      </c>
      <c r="E24" s="62"/>
      <c r="F24" s="59" t="s">
        <v>26</v>
      </c>
      <c r="G24" s="51" t="s">
        <v>56</v>
      </c>
      <c r="H24" s="51" t="s">
        <v>60</v>
      </c>
      <c r="I24" s="51" t="s">
        <v>60</v>
      </c>
      <c r="J24" s="51" t="s">
        <v>29</v>
      </c>
      <c r="K24" s="51"/>
      <c r="L24" s="51" t="s">
        <v>31</v>
      </c>
      <c r="M24" s="60" t="str">
        <f t="shared" si="1"/>
        <v>1..1</v>
      </c>
      <c r="N24" s="53" t="s">
        <v>56</v>
      </c>
      <c r="O24" s="54" t="s">
        <v>61</v>
      </c>
    </row>
    <row r="25" spans="1:15" x14ac:dyDescent="0.25">
      <c r="A25" s="55" t="s">
        <v>62</v>
      </c>
      <c r="B25" s="61" t="s">
        <v>63</v>
      </c>
      <c r="C25" s="57" t="s">
        <v>55</v>
      </c>
      <c r="D25" s="47" t="s">
        <v>25</v>
      </c>
      <c r="E25" s="62"/>
      <c r="F25" s="59" t="s">
        <v>26</v>
      </c>
      <c r="G25" s="51" t="s">
        <v>56</v>
      </c>
      <c r="H25" s="51" t="s">
        <v>64</v>
      </c>
      <c r="I25" s="51" t="s">
        <v>64</v>
      </c>
      <c r="J25" s="51" t="s">
        <v>29</v>
      </c>
      <c r="K25" s="51"/>
      <c r="L25" s="51" t="s">
        <v>31</v>
      </c>
      <c r="M25" s="60" t="str">
        <f t="shared" si="1"/>
        <v>1..n</v>
      </c>
      <c r="N25" s="53" t="s">
        <v>43</v>
      </c>
      <c r="O25" s="54" t="s">
        <v>43</v>
      </c>
    </row>
    <row r="26" spans="1:15" x14ac:dyDescent="0.25">
      <c r="A26" s="55" t="s">
        <v>65</v>
      </c>
      <c r="B26" s="61" t="s">
        <v>54</v>
      </c>
      <c r="C26" s="57" t="s">
        <v>55</v>
      </c>
      <c r="D26" s="47" t="s">
        <v>25</v>
      </c>
      <c r="E26" s="62" t="s">
        <v>41</v>
      </c>
      <c r="F26" s="59" t="s">
        <v>26</v>
      </c>
      <c r="G26" s="51" t="s">
        <v>56</v>
      </c>
      <c r="H26" s="51" t="s">
        <v>57</v>
      </c>
      <c r="I26" s="51" t="s">
        <v>57</v>
      </c>
      <c r="J26" s="51" t="s">
        <v>29</v>
      </c>
      <c r="K26" s="51"/>
      <c r="L26" s="51" t="s">
        <v>31</v>
      </c>
      <c r="M26" s="60" t="str">
        <f t="shared" si="1"/>
        <v>0..n</v>
      </c>
      <c r="N26" s="53" t="s">
        <v>43</v>
      </c>
      <c r="O26" s="54" t="s">
        <v>43</v>
      </c>
    </row>
    <row r="27" spans="1:15" x14ac:dyDescent="0.25">
      <c r="A27" s="55" t="s">
        <v>66</v>
      </c>
      <c r="B27" s="65" t="s">
        <v>59</v>
      </c>
      <c r="C27" s="57" t="s">
        <v>24</v>
      </c>
      <c r="D27" s="47" t="s">
        <v>25</v>
      </c>
      <c r="E27" s="62" t="s">
        <v>41</v>
      </c>
      <c r="F27" s="59" t="s">
        <v>26</v>
      </c>
      <c r="G27" s="51" t="s">
        <v>56</v>
      </c>
      <c r="H27" s="51" t="s">
        <v>60</v>
      </c>
      <c r="I27" s="51" t="s">
        <v>60</v>
      </c>
      <c r="J27" s="51" t="s">
        <v>29</v>
      </c>
      <c r="K27" s="51"/>
      <c r="L27" s="51" t="s">
        <v>31</v>
      </c>
      <c r="M27" s="60" t="str">
        <f t="shared" si="1"/>
        <v>0..1</v>
      </c>
      <c r="N27" s="53" t="s">
        <v>56</v>
      </c>
      <c r="O27" s="54" t="s">
        <v>61</v>
      </c>
    </row>
    <row r="28" spans="1:15" x14ac:dyDescent="0.25">
      <c r="A28" s="55" t="s">
        <v>67</v>
      </c>
      <c r="B28" s="61" t="s">
        <v>63</v>
      </c>
      <c r="C28" s="57" t="s">
        <v>55</v>
      </c>
      <c r="D28" s="47" t="s">
        <v>25</v>
      </c>
      <c r="E28" s="62" t="s">
        <v>41</v>
      </c>
      <c r="F28" s="59" t="s">
        <v>26</v>
      </c>
      <c r="G28" s="51" t="s">
        <v>56</v>
      </c>
      <c r="H28" s="51" t="s">
        <v>64</v>
      </c>
      <c r="I28" s="51" t="s">
        <v>64</v>
      </c>
      <c r="J28" s="51" t="s">
        <v>29</v>
      </c>
      <c r="K28" s="51"/>
      <c r="L28" s="51" t="s">
        <v>31</v>
      </c>
      <c r="M28" s="60" t="str">
        <f t="shared" si="1"/>
        <v>0..n</v>
      </c>
      <c r="N28" s="53" t="s">
        <v>43</v>
      </c>
      <c r="O28" s="54" t="s">
        <v>43</v>
      </c>
    </row>
    <row r="29" spans="1:15" x14ac:dyDescent="0.25">
      <c r="A29" s="55" t="s">
        <v>68</v>
      </c>
      <c r="B29" s="61" t="s">
        <v>54</v>
      </c>
      <c r="C29" s="57" t="s">
        <v>55</v>
      </c>
      <c r="D29" s="47" t="s">
        <v>25</v>
      </c>
      <c r="E29" s="62" t="s">
        <v>41</v>
      </c>
      <c r="F29" s="59" t="s">
        <v>47</v>
      </c>
      <c r="G29" s="51" t="s">
        <v>56</v>
      </c>
      <c r="H29" s="51" t="s">
        <v>57</v>
      </c>
      <c r="I29" s="51" t="s">
        <v>57</v>
      </c>
      <c r="J29" s="51" t="s">
        <v>29</v>
      </c>
      <c r="K29" s="51"/>
      <c r="L29" s="51" t="s">
        <v>31</v>
      </c>
      <c r="M29" s="60" t="str">
        <f t="shared" si="1"/>
        <v>0..n</v>
      </c>
      <c r="N29" s="53" t="s">
        <v>43</v>
      </c>
      <c r="O29" s="54" t="s">
        <v>43</v>
      </c>
    </row>
    <row r="30" spans="1:15" x14ac:dyDescent="0.25">
      <c r="A30" s="55" t="s">
        <v>69</v>
      </c>
      <c r="B30" s="65" t="s">
        <v>59</v>
      </c>
      <c r="C30" s="57" t="s">
        <v>24</v>
      </c>
      <c r="D30" s="47" t="s">
        <v>25</v>
      </c>
      <c r="E30" s="62" t="s">
        <v>41</v>
      </c>
      <c r="F30" s="59" t="s">
        <v>47</v>
      </c>
      <c r="G30" s="51" t="s">
        <v>56</v>
      </c>
      <c r="H30" s="51" t="s">
        <v>70</v>
      </c>
      <c r="I30" s="51" t="s">
        <v>71</v>
      </c>
      <c r="J30" s="51" t="s">
        <v>29</v>
      </c>
      <c r="K30" s="51"/>
      <c r="L30" s="51" t="s">
        <v>31</v>
      </c>
      <c r="M30" s="60" t="str">
        <f t="shared" si="1"/>
        <v>0..1</v>
      </c>
      <c r="N30" s="53" t="s">
        <v>56</v>
      </c>
      <c r="O30" s="54" t="s">
        <v>61</v>
      </c>
    </row>
    <row r="31" spans="1:15" x14ac:dyDescent="0.25">
      <c r="A31" s="55" t="s">
        <v>72</v>
      </c>
      <c r="B31" s="61" t="s">
        <v>538</v>
      </c>
      <c r="C31" s="66" t="s">
        <v>55</v>
      </c>
      <c r="D31" s="47" t="s">
        <v>25</v>
      </c>
      <c r="E31" s="62"/>
      <c r="F31" s="59" t="s">
        <v>47</v>
      </c>
      <c r="G31" s="51" t="s">
        <v>47</v>
      </c>
      <c r="H31" s="51" t="s">
        <v>74</v>
      </c>
      <c r="I31" s="51" t="s">
        <v>74</v>
      </c>
      <c r="J31" s="51" t="s">
        <v>29</v>
      </c>
      <c r="K31" s="67" t="s">
        <v>75</v>
      </c>
      <c r="L31" s="51" t="s">
        <v>662</v>
      </c>
      <c r="M31" s="60" t="str">
        <f t="shared" si="1"/>
        <v>1..n</v>
      </c>
      <c r="N31" s="53" t="s">
        <v>76</v>
      </c>
      <c r="O31" s="68" t="s">
        <v>77</v>
      </c>
    </row>
    <row r="32" spans="1:15" x14ac:dyDescent="0.25">
      <c r="A32" s="55" t="s">
        <v>78</v>
      </c>
      <c r="B32" s="61" t="s">
        <v>79</v>
      </c>
      <c r="C32" s="57" t="s">
        <v>55</v>
      </c>
      <c r="D32" s="47" t="s">
        <v>25</v>
      </c>
      <c r="E32" s="62"/>
      <c r="F32" s="59" t="s">
        <v>80</v>
      </c>
      <c r="G32" s="67" t="s">
        <v>80</v>
      </c>
      <c r="H32" s="51" t="s">
        <v>81</v>
      </c>
      <c r="I32" s="51" t="s">
        <v>81</v>
      </c>
      <c r="J32" s="51" t="s">
        <v>29</v>
      </c>
      <c r="K32" s="67" t="s">
        <v>75</v>
      </c>
      <c r="L32" s="51" t="s">
        <v>31</v>
      </c>
      <c r="M32" s="60" t="str">
        <f t="shared" si="1"/>
        <v>1..n</v>
      </c>
      <c r="N32" s="53" t="s">
        <v>43</v>
      </c>
      <c r="O32" s="68" t="s">
        <v>43</v>
      </c>
    </row>
    <row r="33" spans="1:15" x14ac:dyDescent="0.25">
      <c r="A33" s="55" t="s">
        <v>82</v>
      </c>
      <c r="B33" s="61" t="s">
        <v>83</v>
      </c>
      <c r="C33" s="57" t="s">
        <v>55</v>
      </c>
      <c r="D33" s="47" t="s">
        <v>25</v>
      </c>
      <c r="E33" s="62"/>
      <c r="F33" s="59" t="s">
        <v>47</v>
      </c>
      <c r="G33" s="51" t="s">
        <v>47</v>
      </c>
      <c r="H33" s="51" t="s">
        <v>84</v>
      </c>
      <c r="I33" s="51" t="s">
        <v>84</v>
      </c>
      <c r="J33" s="51" t="s">
        <v>29</v>
      </c>
      <c r="K33" s="51"/>
      <c r="L33" s="51" t="s">
        <v>679</v>
      </c>
      <c r="M33" s="60" t="str">
        <f t="shared" si="1"/>
        <v>1..n</v>
      </c>
      <c r="N33" s="53" t="s">
        <v>85</v>
      </c>
      <c r="O33" s="54" t="s">
        <v>86</v>
      </c>
    </row>
    <row r="34" spans="1:15" x14ac:dyDescent="0.25">
      <c r="A34" s="55" t="s">
        <v>87</v>
      </c>
      <c r="B34" s="61" t="s">
        <v>88</v>
      </c>
      <c r="C34" s="66" t="s">
        <v>55</v>
      </c>
      <c r="D34" s="47" t="s">
        <v>25</v>
      </c>
      <c r="E34" s="62"/>
      <c r="F34" s="69" t="s">
        <v>47</v>
      </c>
      <c r="G34" s="51" t="s">
        <v>89</v>
      </c>
      <c r="H34" s="51" t="s">
        <v>90</v>
      </c>
      <c r="I34" s="51" t="s">
        <v>90</v>
      </c>
      <c r="J34" s="51" t="s">
        <v>29</v>
      </c>
      <c r="K34" s="51"/>
      <c r="L34" s="51" t="s">
        <v>31</v>
      </c>
      <c r="M34" s="60" t="str">
        <f t="shared" si="1"/>
        <v>1..n</v>
      </c>
      <c r="N34" s="53" t="s">
        <v>91</v>
      </c>
      <c r="O34" s="68" t="s">
        <v>92</v>
      </c>
    </row>
    <row r="35" spans="1:15" x14ac:dyDescent="0.25">
      <c r="A35" s="55" t="s">
        <v>93</v>
      </c>
      <c r="B35" s="61" t="s">
        <v>574</v>
      </c>
      <c r="C35" s="57" t="s">
        <v>36</v>
      </c>
      <c r="D35" s="47" t="s">
        <v>25</v>
      </c>
      <c r="E35" s="62"/>
      <c r="F35" s="69" t="s">
        <v>47</v>
      </c>
      <c r="G35" s="51" t="s">
        <v>89</v>
      </c>
      <c r="H35" s="51" t="s">
        <v>88</v>
      </c>
      <c r="I35" s="51" t="s">
        <v>94</v>
      </c>
      <c r="J35" s="51" t="s">
        <v>29</v>
      </c>
      <c r="K35" s="51"/>
      <c r="L35" s="51" t="s">
        <v>31</v>
      </c>
      <c r="M35" s="60" t="str">
        <f t="shared" si="1"/>
        <v>1..1</v>
      </c>
      <c r="N35" s="53" t="s">
        <v>91</v>
      </c>
      <c r="O35" s="68" t="s">
        <v>92</v>
      </c>
    </row>
    <row r="36" spans="1:15" ht="36" customHeight="1" x14ac:dyDescent="0.25">
      <c r="A36" s="55" t="s">
        <v>95</v>
      </c>
      <c r="B36" s="61" t="b">
        <v>1</v>
      </c>
      <c r="C36" s="57" t="s">
        <v>36</v>
      </c>
      <c r="D36" s="47" t="s">
        <v>96</v>
      </c>
      <c r="E36" s="62" t="s">
        <v>41</v>
      </c>
      <c r="F36" s="69" t="s">
        <v>47</v>
      </c>
      <c r="G36" s="51" t="s">
        <v>47</v>
      </c>
      <c r="H36" s="51" t="s">
        <v>97</v>
      </c>
      <c r="I36" s="51" t="s">
        <v>98</v>
      </c>
      <c r="J36" s="51" t="s">
        <v>29</v>
      </c>
      <c r="K36" s="51"/>
      <c r="L36" s="70" t="s">
        <v>656</v>
      </c>
      <c r="M36" s="60" t="str">
        <f t="shared" si="1"/>
        <v>0..1</v>
      </c>
      <c r="N36" s="53" t="s">
        <v>43</v>
      </c>
      <c r="O36" s="68" t="s">
        <v>43</v>
      </c>
    </row>
    <row r="37" spans="1:15" ht="25.5" customHeight="1" x14ac:dyDescent="0.25">
      <c r="A37" s="55" t="s">
        <v>99</v>
      </c>
      <c r="B37" s="64">
        <v>1500000000</v>
      </c>
      <c r="C37" s="57" t="s">
        <v>36</v>
      </c>
      <c r="D37" s="47" t="s">
        <v>100</v>
      </c>
      <c r="E37" s="62"/>
      <c r="F37" s="69" t="s">
        <v>47</v>
      </c>
      <c r="G37" s="51" t="s">
        <v>47</v>
      </c>
      <c r="H37" s="51" t="s">
        <v>101</v>
      </c>
      <c r="I37" s="51" t="s">
        <v>102</v>
      </c>
      <c r="J37" s="51" t="s">
        <v>102</v>
      </c>
      <c r="K37" s="51"/>
      <c r="L37" s="51" t="s">
        <v>103</v>
      </c>
      <c r="M37" s="60" t="str">
        <f t="shared" si="1"/>
        <v>1..1</v>
      </c>
      <c r="N37" s="53" t="s">
        <v>91</v>
      </c>
      <c r="O37" s="54" t="s">
        <v>104</v>
      </c>
    </row>
    <row r="38" spans="1:15" ht="24" x14ac:dyDescent="0.25">
      <c r="A38" s="55" t="s">
        <v>105</v>
      </c>
      <c r="B38" s="64">
        <v>750000000</v>
      </c>
      <c r="C38" s="57" t="s">
        <v>36</v>
      </c>
      <c r="D38" s="47" t="s">
        <v>100</v>
      </c>
      <c r="E38" s="62" t="s">
        <v>41</v>
      </c>
      <c r="F38" s="69" t="s">
        <v>47</v>
      </c>
      <c r="G38" s="51" t="s">
        <v>47</v>
      </c>
      <c r="H38" s="51" t="s">
        <v>106</v>
      </c>
      <c r="I38" s="51" t="s">
        <v>102</v>
      </c>
      <c r="J38" s="51" t="s">
        <v>102</v>
      </c>
      <c r="K38" s="51"/>
      <c r="L38" s="51" t="s">
        <v>107</v>
      </c>
      <c r="M38" s="60" t="str">
        <f t="shared" si="1"/>
        <v>0..1</v>
      </c>
      <c r="N38" s="53" t="s">
        <v>91</v>
      </c>
      <c r="O38" s="54" t="s">
        <v>104</v>
      </c>
    </row>
    <row r="39" spans="1:15" x14ac:dyDescent="0.25">
      <c r="A39" s="55" t="s">
        <v>108</v>
      </c>
      <c r="B39" s="64">
        <v>750000000</v>
      </c>
      <c r="C39" s="57" t="s">
        <v>36</v>
      </c>
      <c r="D39" s="47" t="s">
        <v>100</v>
      </c>
      <c r="E39" s="62" t="s">
        <v>41</v>
      </c>
      <c r="F39" s="69" t="s">
        <v>47</v>
      </c>
      <c r="G39" s="51" t="s">
        <v>47</v>
      </c>
      <c r="H39" s="51" t="s">
        <v>109</v>
      </c>
      <c r="I39" s="51" t="s">
        <v>102</v>
      </c>
      <c r="J39" s="51" t="s">
        <v>102</v>
      </c>
      <c r="K39" s="51"/>
      <c r="L39" s="51" t="s">
        <v>31</v>
      </c>
      <c r="M39" s="60" t="str">
        <f t="shared" si="1"/>
        <v>0..1</v>
      </c>
      <c r="N39" s="53" t="s">
        <v>91</v>
      </c>
      <c r="O39" s="54" t="s">
        <v>104</v>
      </c>
    </row>
    <row r="40" spans="1:15" x14ac:dyDescent="0.25">
      <c r="A40" s="55" t="s">
        <v>110</v>
      </c>
      <c r="B40" s="64">
        <v>100000</v>
      </c>
      <c r="C40" s="57" t="s">
        <v>36</v>
      </c>
      <c r="D40" s="47" t="s">
        <v>100</v>
      </c>
      <c r="E40" s="62"/>
      <c r="F40" s="59" t="s">
        <v>80</v>
      </c>
      <c r="G40" s="67" t="s">
        <v>80</v>
      </c>
      <c r="H40" s="51" t="s">
        <v>111</v>
      </c>
      <c r="I40" s="51" t="s">
        <v>102</v>
      </c>
      <c r="J40" s="51" t="s">
        <v>102</v>
      </c>
      <c r="K40" s="51"/>
      <c r="L40" s="51" t="s">
        <v>112</v>
      </c>
      <c r="M40" s="60" t="str">
        <f t="shared" si="1"/>
        <v>1..1</v>
      </c>
      <c r="N40" s="53" t="s">
        <v>80</v>
      </c>
      <c r="O40" s="54" t="s">
        <v>104</v>
      </c>
    </row>
    <row r="41" spans="1:15" ht="25.5" x14ac:dyDescent="0.25">
      <c r="A41" s="55" t="s">
        <v>113</v>
      </c>
      <c r="B41" s="64">
        <v>100000</v>
      </c>
      <c r="C41" s="57" t="s">
        <v>36</v>
      </c>
      <c r="D41" s="47" t="s">
        <v>100</v>
      </c>
      <c r="E41" s="62" t="s">
        <v>41</v>
      </c>
      <c r="F41" s="59" t="s">
        <v>80</v>
      </c>
      <c r="G41" s="67" t="s">
        <v>80</v>
      </c>
      <c r="H41" s="51" t="s">
        <v>114</v>
      </c>
      <c r="I41" s="51" t="s">
        <v>102</v>
      </c>
      <c r="J41" s="51" t="s">
        <v>102</v>
      </c>
      <c r="K41" s="51"/>
      <c r="L41" s="112" t="s">
        <v>671</v>
      </c>
      <c r="M41" s="60" t="str">
        <f t="shared" si="1"/>
        <v>0..1</v>
      </c>
      <c r="N41" s="53" t="s">
        <v>43</v>
      </c>
      <c r="O41" s="68" t="s">
        <v>43</v>
      </c>
    </row>
    <row r="42" spans="1:15" x14ac:dyDescent="0.25">
      <c r="A42" s="63" t="s">
        <v>551</v>
      </c>
      <c r="B42" s="64">
        <v>100000</v>
      </c>
      <c r="C42" s="57" t="s">
        <v>36</v>
      </c>
      <c r="D42" s="47" t="s">
        <v>100</v>
      </c>
      <c r="E42" s="62"/>
      <c r="F42" s="59" t="s">
        <v>80</v>
      </c>
      <c r="G42" s="67" t="s">
        <v>80</v>
      </c>
      <c r="H42" s="51" t="s">
        <v>552</v>
      </c>
      <c r="I42" s="51" t="s">
        <v>102</v>
      </c>
      <c r="J42" s="51" t="s">
        <v>102</v>
      </c>
      <c r="K42" s="51"/>
      <c r="L42" s="51"/>
      <c r="M42" s="60" t="str">
        <f t="shared" ref="M42" si="2">IF(E42="x","0","1")&amp;".."&amp;(IF(C42="list","n","1"))</f>
        <v>1..1</v>
      </c>
      <c r="N42" s="53" t="s">
        <v>80</v>
      </c>
      <c r="O42" s="54" t="s">
        <v>104</v>
      </c>
    </row>
    <row r="43" spans="1:15" ht="24" x14ac:dyDescent="0.25">
      <c r="A43" s="55" t="s">
        <v>115</v>
      </c>
      <c r="B43" s="71">
        <v>1</v>
      </c>
      <c r="C43" s="57" t="s">
        <v>36</v>
      </c>
      <c r="D43" s="47" t="s">
        <v>100</v>
      </c>
      <c r="E43" s="62"/>
      <c r="F43" s="59" t="s">
        <v>80</v>
      </c>
      <c r="G43" s="67" t="s">
        <v>80</v>
      </c>
      <c r="H43" s="51" t="s">
        <v>116</v>
      </c>
      <c r="I43" s="51" t="s">
        <v>102</v>
      </c>
      <c r="J43" s="51" t="s">
        <v>102</v>
      </c>
      <c r="K43" s="51"/>
      <c r="L43" s="51" t="s">
        <v>31</v>
      </c>
      <c r="M43" s="60" t="str">
        <f t="shared" si="1"/>
        <v>1..1</v>
      </c>
      <c r="N43" s="53" t="s">
        <v>80</v>
      </c>
      <c r="O43" s="54" t="s">
        <v>104</v>
      </c>
    </row>
    <row r="44" spans="1:15" ht="24" x14ac:dyDescent="0.25">
      <c r="A44" s="63" t="s">
        <v>530</v>
      </c>
      <c r="B44" s="71">
        <v>1</v>
      </c>
      <c r="C44" s="57" t="s">
        <v>36</v>
      </c>
      <c r="D44" s="47" t="s">
        <v>100</v>
      </c>
      <c r="E44" s="62"/>
      <c r="F44" s="59" t="s">
        <v>80</v>
      </c>
      <c r="G44" s="67" t="s">
        <v>80</v>
      </c>
      <c r="H44" s="51" t="s">
        <v>546</v>
      </c>
      <c r="I44" s="51" t="s">
        <v>102</v>
      </c>
      <c r="J44" s="51" t="s">
        <v>102</v>
      </c>
      <c r="K44" s="51"/>
      <c r="L44" s="51" t="s">
        <v>31</v>
      </c>
      <c r="M44" s="60" t="str">
        <f t="shared" ref="M44:M45" si="3">IF(E44="x","0","1")&amp;".."&amp;(IF(C44="list","n","1"))</f>
        <v>1..1</v>
      </c>
      <c r="N44" s="53" t="s">
        <v>80</v>
      </c>
      <c r="O44" s="54" t="s">
        <v>104</v>
      </c>
    </row>
    <row r="45" spans="1:15" ht="75" x14ac:dyDescent="0.25">
      <c r="A45" s="63" t="s">
        <v>559</v>
      </c>
      <c r="B45" s="72" t="s">
        <v>610</v>
      </c>
      <c r="C45" s="57" t="s">
        <v>24</v>
      </c>
      <c r="D45" s="47" t="s">
        <v>25</v>
      </c>
      <c r="E45" s="62" t="s">
        <v>41</v>
      </c>
      <c r="F45" s="59" t="s">
        <v>80</v>
      </c>
      <c r="G45" s="67" t="s">
        <v>80</v>
      </c>
      <c r="H45" s="51" t="s">
        <v>561</v>
      </c>
      <c r="I45" s="51" t="s">
        <v>29</v>
      </c>
      <c r="J45" s="51" t="s">
        <v>29</v>
      </c>
      <c r="K45" s="51"/>
      <c r="L45" s="51"/>
      <c r="M45" s="60" t="str">
        <f t="shared" si="3"/>
        <v>0..1</v>
      </c>
      <c r="N45" s="53" t="s">
        <v>43</v>
      </c>
      <c r="O45" s="54" t="s">
        <v>243</v>
      </c>
    </row>
    <row r="46" spans="1:15" x14ac:dyDescent="0.25">
      <c r="A46" s="55" t="s">
        <v>117</v>
      </c>
      <c r="B46" s="61" t="s">
        <v>118</v>
      </c>
      <c r="C46" s="57" t="s">
        <v>55</v>
      </c>
      <c r="D46" s="47" t="s">
        <v>25</v>
      </c>
      <c r="E46" s="62"/>
      <c r="F46" s="59" t="s">
        <v>80</v>
      </c>
      <c r="G46" s="67" t="s">
        <v>80</v>
      </c>
      <c r="H46" s="51" t="s">
        <v>119</v>
      </c>
      <c r="I46" s="51" t="s">
        <v>640</v>
      </c>
      <c r="J46" s="51" t="s">
        <v>29</v>
      </c>
      <c r="K46" s="67" t="s">
        <v>120</v>
      </c>
      <c r="L46" s="51" t="s">
        <v>121</v>
      </c>
      <c r="M46" s="60" t="str">
        <f t="shared" si="1"/>
        <v>1..n</v>
      </c>
      <c r="N46" s="53" t="s">
        <v>122</v>
      </c>
      <c r="O46" s="54" t="s">
        <v>641</v>
      </c>
    </row>
    <row r="47" spans="1:15" ht="24" x14ac:dyDescent="0.25">
      <c r="A47" s="55" t="s">
        <v>123</v>
      </c>
      <c r="B47" s="61" t="s">
        <v>118</v>
      </c>
      <c r="C47" s="57" t="s">
        <v>55</v>
      </c>
      <c r="D47" s="47" t="s">
        <v>25</v>
      </c>
      <c r="E47" s="62" t="s">
        <v>41</v>
      </c>
      <c r="F47" s="59" t="s">
        <v>80</v>
      </c>
      <c r="G47" s="67" t="s">
        <v>80</v>
      </c>
      <c r="H47" s="73" t="s">
        <v>124</v>
      </c>
      <c r="I47" s="51" t="s">
        <v>640</v>
      </c>
      <c r="J47" s="51" t="s">
        <v>29</v>
      </c>
      <c r="K47" s="67" t="s">
        <v>120</v>
      </c>
      <c r="L47" s="51" t="s">
        <v>125</v>
      </c>
      <c r="M47" s="60" t="str">
        <f t="shared" si="1"/>
        <v>0..n</v>
      </c>
      <c r="N47" s="53" t="s">
        <v>122</v>
      </c>
      <c r="O47" s="54" t="s">
        <v>641</v>
      </c>
    </row>
    <row r="48" spans="1:15" ht="24" x14ac:dyDescent="0.25">
      <c r="A48" s="55" t="s">
        <v>126</v>
      </c>
      <c r="B48" s="61" t="s">
        <v>118</v>
      </c>
      <c r="C48" s="57" t="s">
        <v>55</v>
      </c>
      <c r="D48" s="47" t="s">
        <v>25</v>
      </c>
      <c r="E48" s="62" t="s">
        <v>41</v>
      </c>
      <c r="F48" s="59" t="s">
        <v>80</v>
      </c>
      <c r="G48" s="67" t="s">
        <v>80</v>
      </c>
      <c r="H48" s="73" t="s">
        <v>127</v>
      </c>
      <c r="I48" s="51" t="s">
        <v>640</v>
      </c>
      <c r="J48" s="51" t="s">
        <v>29</v>
      </c>
      <c r="K48" s="67" t="s">
        <v>120</v>
      </c>
      <c r="L48" s="51" t="s">
        <v>128</v>
      </c>
      <c r="M48" s="60" t="str">
        <f t="shared" si="1"/>
        <v>0..n</v>
      </c>
      <c r="N48" s="53" t="s">
        <v>122</v>
      </c>
      <c r="O48" s="54" t="s">
        <v>641</v>
      </c>
    </row>
    <row r="49" spans="1:15" ht="24" x14ac:dyDescent="0.25">
      <c r="A49" s="55" t="s">
        <v>129</v>
      </c>
      <c r="B49" s="74">
        <v>44242</v>
      </c>
      <c r="C49" s="57" t="s">
        <v>130</v>
      </c>
      <c r="D49" s="47" t="s">
        <v>131</v>
      </c>
      <c r="E49" s="62"/>
      <c r="F49" s="59" t="s">
        <v>80</v>
      </c>
      <c r="G49" s="67" t="s">
        <v>80</v>
      </c>
      <c r="H49" s="51" t="s">
        <v>132</v>
      </c>
      <c r="I49" s="51" t="s">
        <v>133</v>
      </c>
      <c r="J49" s="51" t="s">
        <v>134</v>
      </c>
      <c r="K49" s="51"/>
      <c r="L49" s="51" t="s">
        <v>135</v>
      </c>
      <c r="M49" s="60" t="str">
        <f t="shared" si="1"/>
        <v>1..1</v>
      </c>
      <c r="N49" s="53" t="s">
        <v>43</v>
      </c>
      <c r="O49" s="54" t="s">
        <v>133</v>
      </c>
    </row>
    <row r="50" spans="1:15" ht="48" x14ac:dyDescent="0.25">
      <c r="A50" s="55" t="s">
        <v>136</v>
      </c>
      <c r="B50" s="74">
        <v>44242</v>
      </c>
      <c r="C50" s="57" t="s">
        <v>130</v>
      </c>
      <c r="D50" s="47" t="s">
        <v>131</v>
      </c>
      <c r="E50" s="62"/>
      <c r="F50" s="59" t="s">
        <v>80</v>
      </c>
      <c r="G50" s="67" t="s">
        <v>80</v>
      </c>
      <c r="H50" s="73" t="s">
        <v>137</v>
      </c>
      <c r="I50" s="51" t="s">
        <v>133</v>
      </c>
      <c r="J50" s="51" t="s">
        <v>134</v>
      </c>
      <c r="K50" s="67"/>
      <c r="L50" s="51" t="s">
        <v>138</v>
      </c>
      <c r="M50" s="60" t="str">
        <f t="shared" si="1"/>
        <v>1..1</v>
      </c>
      <c r="N50" s="53" t="s">
        <v>137</v>
      </c>
      <c r="O50" s="68" t="s">
        <v>139</v>
      </c>
    </row>
    <row r="51" spans="1:15" ht="24" x14ac:dyDescent="0.25">
      <c r="A51" s="55" t="s">
        <v>140</v>
      </c>
      <c r="B51" s="74">
        <v>44249</v>
      </c>
      <c r="C51" s="57" t="s">
        <v>130</v>
      </c>
      <c r="D51" s="47" t="s">
        <v>131</v>
      </c>
      <c r="E51" s="62"/>
      <c r="F51" s="59" t="s">
        <v>80</v>
      </c>
      <c r="G51" s="67" t="s">
        <v>80</v>
      </c>
      <c r="H51" s="51" t="s">
        <v>141</v>
      </c>
      <c r="I51" s="51" t="s">
        <v>133</v>
      </c>
      <c r="J51" s="51" t="s">
        <v>134</v>
      </c>
      <c r="K51" s="51"/>
      <c r="L51" s="51" t="s">
        <v>672</v>
      </c>
      <c r="M51" s="60" t="str">
        <f t="shared" si="1"/>
        <v>1..1</v>
      </c>
      <c r="N51" s="53" t="s">
        <v>80</v>
      </c>
      <c r="O51" s="54" t="s">
        <v>133</v>
      </c>
    </row>
    <row r="52" spans="1:15" x14ac:dyDescent="0.25">
      <c r="A52" s="55" t="s">
        <v>142</v>
      </c>
      <c r="B52" s="74">
        <v>47901</v>
      </c>
      <c r="C52" s="57" t="s">
        <v>130</v>
      </c>
      <c r="D52" s="47" t="s">
        <v>131</v>
      </c>
      <c r="E52" s="62"/>
      <c r="F52" s="69" t="s">
        <v>47</v>
      </c>
      <c r="G52" s="51" t="s">
        <v>143</v>
      </c>
      <c r="H52" s="51" t="s">
        <v>144</v>
      </c>
      <c r="I52" s="51" t="s">
        <v>145</v>
      </c>
      <c r="J52" s="51" t="s">
        <v>134</v>
      </c>
      <c r="K52" s="51"/>
      <c r="L52" s="51" t="s">
        <v>31</v>
      </c>
      <c r="M52" s="60" t="str">
        <f t="shared" si="1"/>
        <v>1..1</v>
      </c>
      <c r="N52" s="53" t="s">
        <v>144</v>
      </c>
      <c r="O52" s="54" t="s">
        <v>133</v>
      </c>
    </row>
    <row r="53" spans="1:15" ht="24" x14ac:dyDescent="0.25">
      <c r="A53" s="55" t="s">
        <v>146</v>
      </c>
      <c r="B53" s="61" t="s">
        <v>147</v>
      </c>
      <c r="C53" s="57" t="s">
        <v>55</v>
      </c>
      <c r="D53" s="47" t="s">
        <v>25</v>
      </c>
      <c r="E53" s="62"/>
      <c r="F53" s="69" t="s">
        <v>47</v>
      </c>
      <c r="G53" s="51" t="s">
        <v>148</v>
      </c>
      <c r="H53" s="51" t="s">
        <v>149</v>
      </c>
      <c r="I53" s="51" t="s">
        <v>149</v>
      </c>
      <c r="J53" s="67" t="s">
        <v>29</v>
      </c>
      <c r="K53" s="67"/>
      <c r="L53" s="51" t="s">
        <v>150</v>
      </c>
      <c r="M53" s="60" t="str">
        <f t="shared" si="1"/>
        <v>1..n</v>
      </c>
      <c r="N53" s="53" t="s">
        <v>151</v>
      </c>
      <c r="O53" s="68" t="s">
        <v>152</v>
      </c>
    </row>
    <row r="54" spans="1:15" x14ac:dyDescent="0.25">
      <c r="A54" s="55" t="s">
        <v>153</v>
      </c>
      <c r="B54" s="75" t="s">
        <v>575</v>
      </c>
      <c r="C54" s="57" t="s">
        <v>55</v>
      </c>
      <c r="D54" s="47" t="s">
        <v>25</v>
      </c>
      <c r="E54" s="62"/>
      <c r="F54" s="69" t="s">
        <v>47</v>
      </c>
      <c r="G54" s="51" t="s">
        <v>148</v>
      </c>
      <c r="H54" s="73" t="s">
        <v>154</v>
      </c>
      <c r="I54" s="73" t="s">
        <v>154</v>
      </c>
      <c r="J54" s="67" t="s">
        <v>29</v>
      </c>
      <c r="K54" s="67"/>
      <c r="L54" s="51" t="s">
        <v>31</v>
      </c>
      <c r="M54" s="60" t="str">
        <f t="shared" si="1"/>
        <v>1..n</v>
      </c>
      <c r="N54" s="53" t="s">
        <v>151</v>
      </c>
      <c r="O54" s="68" t="s">
        <v>155</v>
      </c>
    </row>
    <row r="55" spans="1:15" x14ac:dyDescent="0.25">
      <c r="A55" s="55" t="s">
        <v>617</v>
      </c>
      <c r="B55" s="61">
        <v>3.875</v>
      </c>
      <c r="C55" s="57" t="s">
        <v>36</v>
      </c>
      <c r="D55" s="47" t="s">
        <v>100</v>
      </c>
      <c r="E55" s="62"/>
      <c r="F55" s="69" t="s">
        <v>47</v>
      </c>
      <c r="G55" s="51" t="s">
        <v>91</v>
      </c>
      <c r="H55" s="73" t="s">
        <v>156</v>
      </c>
      <c r="I55" s="51" t="s">
        <v>157</v>
      </c>
      <c r="J55" s="67" t="s">
        <v>102</v>
      </c>
      <c r="K55" s="67"/>
      <c r="L55" s="51" t="s">
        <v>158</v>
      </c>
      <c r="M55" s="60" t="str">
        <f t="shared" si="1"/>
        <v>1..1</v>
      </c>
      <c r="N55" s="53" t="s">
        <v>159</v>
      </c>
      <c r="O55" s="68" t="s">
        <v>160</v>
      </c>
    </row>
    <row r="56" spans="1:15" ht="84" customHeight="1" x14ac:dyDescent="0.25">
      <c r="A56" s="76" t="s">
        <v>161</v>
      </c>
      <c r="B56" s="61" t="s">
        <v>501</v>
      </c>
      <c r="C56" s="57" t="s">
        <v>55</v>
      </c>
      <c r="D56" s="47" t="s">
        <v>25</v>
      </c>
      <c r="E56" s="62"/>
      <c r="F56" s="69" t="s">
        <v>47</v>
      </c>
      <c r="G56" s="51" t="s">
        <v>157</v>
      </c>
      <c r="H56" s="73" t="s">
        <v>162</v>
      </c>
      <c r="I56" s="51" t="s">
        <v>91</v>
      </c>
      <c r="J56" s="67" t="s">
        <v>29</v>
      </c>
      <c r="K56" s="67"/>
      <c r="L56" s="51" t="s">
        <v>163</v>
      </c>
      <c r="M56" s="60" t="str">
        <f t="shared" si="1"/>
        <v>1..n</v>
      </c>
      <c r="N56" s="53" t="s">
        <v>164</v>
      </c>
      <c r="O56" s="68" t="s">
        <v>165</v>
      </c>
    </row>
    <row r="57" spans="1:15" ht="48" x14ac:dyDescent="0.25">
      <c r="A57" s="55" t="s">
        <v>166</v>
      </c>
      <c r="B57" s="61">
        <v>3</v>
      </c>
      <c r="C57" s="57" t="s">
        <v>36</v>
      </c>
      <c r="D57" s="47" t="s">
        <v>50</v>
      </c>
      <c r="E57" s="62" t="s">
        <v>41</v>
      </c>
      <c r="F57" s="69" t="s">
        <v>47</v>
      </c>
      <c r="G57" s="51" t="s">
        <v>148</v>
      </c>
      <c r="H57" s="73" t="s">
        <v>166</v>
      </c>
      <c r="I57" s="51" t="s">
        <v>52</v>
      </c>
      <c r="J57" s="67" t="s">
        <v>52</v>
      </c>
      <c r="K57" s="67"/>
      <c r="L57" s="51" t="s">
        <v>167</v>
      </c>
      <c r="M57" s="77" t="str">
        <f>IF(E57="x","0","1")&amp;".."&amp;(IF(C57="list","n","1"))</f>
        <v>0..1</v>
      </c>
      <c r="N57" s="53" t="s">
        <v>43</v>
      </c>
      <c r="O57" s="68" t="s">
        <v>43</v>
      </c>
    </row>
    <row r="58" spans="1:15" ht="36" x14ac:dyDescent="0.25">
      <c r="A58" s="55" t="s">
        <v>168</v>
      </c>
      <c r="B58" s="61" t="s">
        <v>394</v>
      </c>
      <c r="C58" s="57" t="s">
        <v>55</v>
      </c>
      <c r="D58" s="47" t="s">
        <v>25</v>
      </c>
      <c r="E58" s="62" t="s">
        <v>41</v>
      </c>
      <c r="F58" s="69" t="s">
        <v>47</v>
      </c>
      <c r="G58" s="51" t="s">
        <v>148</v>
      </c>
      <c r="H58" s="73" t="s">
        <v>169</v>
      </c>
      <c r="I58" s="51" t="s">
        <v>169</v>
      </c>
      <c r="J58" s="67" t="s">
        <v>29</v>
      </c>
      <c r="K58" s="67"/>
      <c r="L58" s="51" t="s">
        <v>170</v>
      </c>
      <c r="M58" s="77" t="str">
        <f>IF(E58="x","0","1")&amp;".."&amp;(IF(C58="list","n","1"))</f>
        <v>0..n</v>
      </c>
      <c r="N58" s="53" t="s">
        <v>43</v>
      </c>
      <c r="O58" s="68" t="s">
        <v>43</v>
      </c>
    </row>
    <row r="59" spans="1:15" x14ac:dyDescent="0.25">
      <c r="A59" s="76" t="s">
        <v>171</v>
      </c>
      <c r="B59" s="61" t="s">
        <v>354</v>
      </c>
      <c r="C59" s="57" t="s">
        <v>55</v>
      </c>
      <c r="D59" s="47" t="s">
        <v>25</v>
      </c>
      <c r="E59" s="62"/>
      <c r="F59" s="69" t="s">
        <v>47</v>
      </c>
      <c r="G59" s="51" t="s">
        <v>148</v>
      </c>
      <c r="H59" s="73" t="s">
        <v>172</v>
      </c>
      <c r="I59" s="67" t="s">
        <v>29</v>
      </c>
      <c r="J59" s="67" t="s">
        <v>29</v>
      </c>
      <c r="K59" s="67"/>
      <c r="L59" s="51" t="s">
        <v>31</v>
      </c>
      <c r="M59" s="60" t="str">
        <f t="shared" si="1"/>
        <v>1..n</v>
      </c>
      <c r="N59" s="53" t="s">
        <v>43</v>
      </c>
      <c r="O59" s="68" t="s">
        <v>43</v>
      </c>
    </row>
    <row r="60" spans="1:15" x14ac:dyDescent="0.25">
      <c r="A60" s="76" t="s">
        <v>173</v>
      </c>
      <c r="B60" s="56" t="s">
        <v>374</v>
      </c>
      <c r="C60" s="57" t="s">
        <v>55</v>
      </c>
      <c r="D60" s="47" t="s">
        <v>25</v>
      </c>
      <c r="E60" s="62"/>
      <c r="F60" s="69" t="s">
        <v>47</v>
      </c>
      <c r="G60" s="51" t="s">
        <v>148</v>
      </c>
      <c r="H60" s="73" t="s">
        <v>174</v>
      </c>
      <c r="I60" s="67" t="s">
        <v>29</v>
      </c>
      <c r="J60" s="67" t="s">
        <v>29</v>
      </c>
      <c r="K60" s="67"/>
      <c r="L60" s="51" t="s">
        <v>31</v>
      </c>
      <c r="M60" s="60" t="str">
        <f t="shared" si="1"/>
        <v>1..n</v>
      </c>
      <c r="N60" s="53" t="s">
        <v>43</v>
      </c>
      <c r="O60" s="68" t="s">
        <v>43</v>
      </c>
    </row>
    <row r="61" spans="1:15" x14ac:dyDescent="0.25">
      <c r="A61" s="76" t="s">
        <v>175</v>
      </c>
      <c r="B61" s="61" t="s">
        <v>356</v>
      </c>
      <c r="C61" s="57" t="s">
        <v>55</v>
      </c>
      <c r="D61" s="47" t="s">
        <v>25</v>
      </c>
      <c r="E61" s="62"/>
      <c r="F61" s="69" t="s">
        <v>47</v>
      </c>
      <c r="G61" s="51" t="s">
        <v>148</v>
      </c>
      <c r="H61" s="73" t="s">
        <v>176</v>
      </c>
      <c r="I61" s="67" t="s">
        <v>29</v>
      </c>
      <c r="J61" s="67" t="s">
        <v>29</v>
      </c>
      <c r="K61" s="67"/>
      <c r="L61" s="51" t="s">
        <v>31</v>
      </c>
      <c r="M61" s="60" t="str">
        <f t="shared" si="1"/>
        <v>1..n</v>
      </c>
      <c r="N61" s="53" t="s">
        <v>43</v>
      </c>
      <c r="O61" s="68" t="s">
        <v>43</v>
      </c>
    </row>
    <row r="62" spans="1:15" x14ac:dyDescent="0.25">
      <c r="A62" s="55" t="s">
        <v>177</v>
      </c>
      <c r="B62" s="61" t="s">
        <v>619</v>
      </c>
      <c r="C62" s="57" t="s">
        <v>55</v>
      </c>
      <c r="D62" s="47" t="s">
        <v>25</v>
      </c>
      <c r="E62" s="62"/>
      <c r="F62" s="69" t="s">
        <v>47</v>
      </c>
      <c r="G62" s="51" t="s">
        <v>148</v>
      </c>
      <c r="H62" s="73" t="s">
        <v>178</v>
      </c>
      <c r="I62" s="67" t="s">
        <v>29</v>
      </c>
      <c r="J62" s="67" t="s">
        <v>29</v>
      </c>
      <c r="K62" s="67"/>
      <c r="L62" s="51" t="s">
        <v>31</v>
      </c>
      <c r="M62" s="60" t="str">
        <f t="shared" si="1"/>
        <v>1..n</v>
      </c>
      <c r="N62" s="53" t="s">
        <v>43</v>
      </c>
      <c r="O62" s="68" t="s">
        <v>43</v>
      </c>
    </row>
    <row r="63" spans="1:15" x14ac:dyDescent="0.25">
      <c r="A63" s="76" t="s">
        <v>620</v>
      </c>
      <c r="B63" s="61">
        <v>100</v>
      </c>
      <c r="C63" s="57" t="s">
        <v>36</v>
      </c>
      <c r="D63" s="47" t="s">
        <v>100</v>
      </c>
      <c r="E63" s="62"/>
      <c r="F63" s="69" t="s">
        <v>47</v>
      </c>
      <c r="G63" s="51" t="s">
        <v>179</v>
      </c>
      <c r="H63" s="73" t="s">
        <v>179</v>
      </c>
      <c r="I63" s="51" t="s">
        <v>145</v>
      </c>
      <c r="J63" s="67" t="s">
        <v>102</v>
      </c>
      <c r="K63" s="67"/>
      <c r="L63" s="51" t="s">
        <v>31</v>
      </c>
      <c r="M63" s="60" t="str">
        <f t="shared" si="1"/>
        <v>1..1</v>
      </c>
      <c r="N63" s="53" t="s">
        <v>43</v>
      </c>
      <c r="O63" s="68" t="s">
        <v>43</v>
      </c>
    </row>
    <row r="64" spans="1:15" x14ac:dyDescent="0.25">
      <c r="A64" s="76" t="s">
        <v>180</v>
      </c>
      <c r="B64" s="78" t="s">
        <v>181</v>
      </c>
      <c r="C64" s="57" t="s">
        <v>55</v>
      </c>
      <c r="D64" s="47" t="s">
        <v>25</v>
      </c>
      <c r="E64" s="62"/>
      <c r="F64" s="69" t="s">
        <v>47</v>
      </c>
      <c r="G64" s="51" t="s">
        <v>47</v>
      </c>
      <c r="H64" s="51" t="s">
        <v>182</v>
      </c>
      <c r="I64" s="51" t="s">
        <v>182</v>
      </c>
      <c r="J64" s="51" t="s">
        <v>29</v>
      </c>
      <c r="K64" s="51"/>
      <c r="L64" s="51" t="s">
        <v>31</v>
      </c>
      <c r="M64" s="60" t="str">
        <f t="shared" si="1"/>
        <v>1..n</v>
      </c>
      <c r="N64" s="53" t="s">
        <v>183</v>
      </c>
      <c r="O64" s="54" t="s">
        <v>86</v>
      </c>
    </row>
    <row r="65" spans="1:15" x14ac:dyDescent="0.25">
      <c r="A65" s="76" t="s">
        <v>184</v>
      </c>
      <c r="B65" s="61" t="s">
        <v>185</v>
      </c>
      <c r="C65" s="57" t="s">
        <v>55</v>
      </c>
      <c r="D65" s="47" t="s">
        <v>25</v>
      </c>
      <c r="E65" s="62"/>
      <c r="F65" s="69" t="s">
        <v>47</v>
      </c>
      <c r="G65" s="51" t="s">
        <v>47</v>
      </c>
      <c r="H65" s="51" t="s">
        <v>186</v>
      </c>
      <c r="I65" s="51" t="s">
        <v>186</v>
      </c>
      <c r="J65" s="51" t="s">
        <v>29</v>
      </c>
      <c r="K65" s="51"/>
      <c r="L65" s="51" t="s">
        <v>31</v>
      </c>
      <c r="M65" s="60" t="str">
        <f t="shared" si="1"/>
        <v>1..n</v>
      </c>
      <c r="N65" s="53" t="s">
        <v>43</v>
      </c>
      <c r="O65" s="54" t="s">
        <v>43</v>
      </c>
    </row>
    <row r="66" spans="1:15" ht="24" x14ac:dyDescent="0.25">
      <c r="A66" s="76" t="s">
        <v>187</v>
      </c>
      <c r="B66" s="61" t="s">
        <v>188</v>
      </c>
      <c r="C66" s="57" t="s">
        <v>55</v>
      </c>
      <c r="D66" s="47" t="s">
        <v>25</v>
      </c>
      <c r="E66" s="62"/>
      <c r="F66" s="69" t="s">
        <v>47</v>
      </c>
      <c r="G66" s="51" t="s">
        <v>47</v>
      </c>
      <c r="H66" s="51" t="s">
        <v>189</v>
      </c>
      <c r="I66" s="51" t="s">
        <v>189</v>
      </c>
      <c r="J66" s="51" t="s">
        <v>29</v>
      </c>
      <c r="K66" s="51"/>
      <c r="L66" s="51" t="s">
        <v>31</v>
      </c>
      <c r="M66" s="60" t="str">
        <f t="shared" si="1"/>
        <v>1..n</v>
      </c>
      <c r="N66" s="53" t="s">
        <v>190</v>
      </c>
      <c r="O66" s="54" t="s">
        <v>191</v>
      </c>
    </row>
    <row r="67" spans="1:15" ht="23.25" customHeight="1" x14ac:dyDescent="0.25">
      <c r="A67" s="76" t="s">
        <v>192</v>
      </c>
      <c r="B67" s="74">
        <f>B51</f>
        <v>44249</v>
      </c>
      <c r="C67" s="57" t="s">
        <v>130</v>
      </c>
      <c r="D67" s="47" t="s">
        <v>131</v>
      </c>
      <c r="E67" s="62"/>
      <c r="F67" s="69" t="s">
        <v>47</v>
      </c>
      <c r="G67" s="51" t="s">
        <v>148</v>
      </c>
      <c r="H67" s="51" t="s">
        <v>193</v>
      </c>
      <c r="I67" s="51" t="s">
        <v>133</v>
      </c>
      <c r="J67" s="51" t="s">
        <v>134</v>
      </c>
      <c r="K67" s="51"/>
      <c r="L67" s="51" t="s">
        <v>31</v>
      </c>
      <c r="M67" s="60" t="str">
        <f t="shared" si="1"/>
        <v>1..1</v>
      </c>
      <c r="N67" s="53" t="s">
        <v>43</v>
      </c>
      <c r="O67" s="54" t="s">
        <v>139</v>
      </c>
    </row>
    <row r="68" spans="1:15" ht="21.75" customHeight="1" x14ac:dyDescent="0.25">
      <c r="A68" s="55" t="s">
        <v>194</v>
      </c>
      <c r="B68" s="74">
        <v>44614</v>
      </c>
      <c r="C68" s="57" t="s">
        <v>130</v>
      </c>
      <c r="D68" s="47" t="s">
        <v>131</v>
      </c>
      <c r="E68" s="62"/>
      <c r="F68" s="69" t="s">
        <v>47</v>
      </c>
      <c r="G68" s="51" t="s">
        <v>148</v>
      </c>
      <c r="H68" s="73" t="s">
        <v>195</v>
      </c>
      <c r="I68" s="51" t="s">
        <v>133</v>
      </c>
      <c r="J68" s="51" t="s">
        <v>134</v>
      </c>
      <c r="K68" s="67"/>
      <c r="L68" s="51" t="s">
        <v>31</v>
      </c>
      <c r="M68" s="60" t="str">
        <f t="shared" si="1"/>
        <v>1..1</v>
      </c>
      <c r="N68" s="53" t="s">
        <v>43</v>
      </c>
      <c r="O68" s="54" t="s">
        <v>139</v>
      </c>
    </row>
    <row r="69" spans="1:15" x14ac:dyDescent="0.25">
      <c r="A69" s="79" t="s">
        <v>196</v>
      </c>
      <c r="B69" s="61" t="s">
        <v>197</v>
      </c>
      <c r="C69" s="57" t="s">
        <v>55</v>
      </c>
      <c r="D69" s="47" t="s">
        <v>25</v>
      </c>
      <c r="E69" s="62" t="s">
        <v>41</v>
      </c>
      <c r="F69" s="69" t="s">
        <v>47</v>
      </c>
      <c r="G69" s="51" t="s">
        <v>148</v>
      </c>
      <c r="H69" s="73" t="s">
        <v>196</v>
      </c>
      <c r="I69" s="51" t="s">
        <v>29</v>
      </c>
      <c r="J69" s="51" t="s">
        <v>29</v>
      </c>
      <c r="K69" s="67"/>
      <c r="L69" s="51" t="s">
        <v>31</v>
      </c>
      <c r="M69" s="60" t="s">
        <v>198</v>
      </c>
      <c r="N69" s="53" t="s">
        <v>43</v>
      </c>
      <c r="O69" s="68" t="s">
        <v>43</v>
      </c>
    </row>
    <row r="70" spans="1:15" ht="21.75" customHeight="1" x14ac:dyDescent="0.25">
      <c r="A70" s="55" t="s">
        <v>199</v>
      </c>
      <c r="B70" s="74">
        <v>46075</v>
      </c>
      <c r="C70" s="57" t="s">
        <v>130</v>
      </c>
      <c r="D70" s="47" t="s">
        <v>131</v>
      </c>
      <c r="E70" s="62" t="s">
        <v>41</v>
      </c>
      <c r="F70" s="69" t="s">
        <v>47</v>
      </c>
      <c r="G70" s="51" t="s">
        <v>148</v>
      </c>
      <c r="H70" s="73" t="s">
        <v>200</v>
      </c>
      <c r="I70" s="51" t="s">
        <v>133</v>
      </c>
      <c r="J70" s="51" t="s">
        <v>134</v>
      </c>
      <c r="K70" s="67"/>
      <c r="L70" s="51" t="s">
        <v>31</v>
      </c>
      <c r="M70" s="60" t="str">
        <f t="shared" ref="M70" si="4">IF(E70="x","0","1")&amp;".."&amp;(IF(C70="list","n","1"))</f>
        <v>0..1</v>
      </c>
      <c r="N70" s="53" t="s">
        <v>43</v>
      </c>
      <c r="O70" s="54" t="s">
        <v>139</v>
      </c>
    </row>
    <row r="71" spans="1:15" ht="24" x14ac:dyDescent="0.25">
      <c r="A71" s="55" t="s">
        <v>201</v>
      </c>
      <c r="B71" s="74" t="s">
        <v>621</v>
      </c>
      <c r="C71" s="57" t="s">
        <v>130</v>
      </c>
      <c r="D71" s="47" t="s">
        <v>131</v>
      </c>
      <c r="E71" s="62"/>
      <c r="F71" s="69" t="s">
        <v>47</v>
      </c>
      <c r="G71" s="51" t="s">
        <v>148</v>
      </c>
      <c r="H71" s="73" t="s">
        <v>202</v>
      </c>
      <c r="I71" s="51" t="s">
        <v>203</v>
      </c>
      <c r="J71" s="51" t="s">
        <v>29</v>
      </c>
      <c r="K71" s="67"/>
      <c r="L71" s="51" t="s">
        <v>204</v>
      </c>
      <c r="M71" s="60" t="str">
        <f t="shared" si="1"/>
        <v>1..1</v>
      </c>
      <c r="N71" s="53" t="s">
        <v>43</v>
      </c>
      <c r="O71" s="54" t="s">
        <v>139</v>
      </c>
    </row>
    <row r="72" spans="1:15" x14ac:dyDescent="0.25">
      <c r="A72" s="55" t="s">
        <v>205</v>
      </c>
      <c r="B72" s="61">
        <v>99.840999999999994</v>
      </c>
      <c r="C72" s="57" t="s">
        <v>36</v>
      </c>
      <c r="D72" s="47" t="s">
        <v>100</v>
      </c>
      <c r="E72" s="62"/>
      <c r="F72" s="59" t="s">
        <v>80</v>
      </c>
      <c r="G72" s="67" t="s">
        <v>80</v>
      </c>
      <c r="H72" s="73" t="s">
        <v>206</v>
      </c>
      <c r="I72" s="73" t="s">
        <v>207</v>
      </c>
      <c r="J72" s="67" t="s">
        <v>102</v>
      </c>
      <c r="K72" s="67"/>
      <c r="L72" s="51" t="s">
        <v>31</v>
      </c>
      <c r="M72" s="77" t="str">
        <f>IF(E72="x","0","1")&amp;".."&amp;(IF(C72="list","n","1"))</f>
        <v>1..1</v>
      </c>
      <c r="N72" s="53" t="s">
        <v>207</v>
      </c>
      <c r="O72" s="68" t="s">
        <v>207</v>
      </c>
    </row>
    <row r="73" spans="1:15" x14ac:dyDescent="0.25">
      <c r="A73" s="63" t="s">
        <v>602</v>
      </c>
      <c r="B73" s="61">
        <v>3.9119999999999999</v>
      </c>
      <c r="C73" s="57" t="s">
        <v>36</v>
      </c>
      <c r="D73" s="47" t="s">
        <v>100</v>
      </c>
      <c r="E73" s="62" t="s">
        <v>41</v>
      </c>
      <c r="F73" s="59" t="s">
        <v>80</v>
      </c>
      <c r="G73" s="67" t="s">
        <v>80</v>
      </c>
      <c r="H73" s="73" t="s">
        <v>655</v>
      </c>
      <c r="I73" s="73" t="s">
        <v>207</v>
      </c>
      <c r="J73" s="67" t="s">
        <v>102</v>
      </c>
      <c r="K73" s="67"/>
      <c r="L73" s="51"/>
      <c r="M73" s="77" t="s">
        <v>198</v>
      </c>
      <c r="N73" s="53" t="s">
        <v>526</v>
      </c>
      <c r="O73" s="68" t="s">
        <v>160</v>
      </c>
    </row>
    <row r="74" spans="1:15" x14ac:dyDescent="0.25">
      <c r="A74" s="76" t="s">
        <v>208</v>
      </c>
      <c r="B74" s="61">
        <v>99.840999999999994</v>
      </c>
      <c r="C74" s="57" t="s">
        <v>36</v>
      </c>
      <c r="D74" s="47" t="s">
        <v>100</v>
      </c>
      <c r="E74" s="62" t="s">
        <v>41</v>
      </c>
      <c r="F74" s="59" t="s">
        <v>80</v>
      </c>
      <c r="G74" s="67" t="s">
        <v>80</v>
      </c>
      <c r="H74" s="51" t="s">
        <v>209</v>
      </c>
      <c r="I74" s="73" t="s">
        <v>207</v>
      </c>
      <c r="J74" s="67" t="s">
        <v>102</v>
      </c>
      <c r="K74" s="51"/>
      <c r="L74" s="51" t="s">
        <v>31</v>
      </c>
      <c r="M74" s="77" t="str">
        <f>IF(E74="x","0","1")&amp;".."&amp;(IF(C74="list","n","1"))</f>
        <v>0..1</v>
      </c>
      <c r="N74" s="53" t="s">
        <v>210</v>
      </c>
      <c r="O74" s="68" t="s">
        <v>211</v>
      </c>
    </row>
    <row r="75" spans="1:15" x14ac:dyDescent="0.25">
      <c r="A75" s="76" t="s">
        <v>212</v>
      </c>
      <c r="B75" s="61">
        <v>3.9119999999999999</v>
      </c>
      <c r="C75" s="57" t="s">
        <v>36</v>
      </c>
      <c r="D75" s="47" t="s">
        <v>100</v>
      </c>
      <c r="E75" s="62" t="s">
        <v>41</v>
      </c>
      <c r="F75" s="59" t="s">
        <v>80</v>
      </c>
      <c r="G75" s="67" t="s">
        <v>80</v>
      </c>
      <c r="H75" s="51" t="s">
        <v>213</v>
      </c>
      <c r="I75" s="73" t="s">
        <v>207</v>
      </c>
      <c r="J75" s="67" t="s">
        <v>102</v>
      </c>
      <c r="K75" s="51"/>
      <c r="L75" s="51" t="s">
        <v>31</v>
      </c>
      <c r="M75" s="60" t="str">
        <f t="shared" si="1"/>
        <v>0..1</v>
      </c>
      <c r="N75" s="53" t="s">
        <v>210</v>
      </c>
      <c r="O75" s="68" t="s">
        <v>211</v>
      </c>
    </row>
    <row r="76" spans="1:15" ht="24" x14ac:dyDescent="0.25">
      <c r="A76" s="76" t="s">
        <v>214</v>
      </c>
      <c r="B76" s="56" t="s">
        <v>622</v>
      </c>
      <c r="C76" s="57" t="s">
        <v>36</v>
      </c>
      <c r="D76" s="47" t="s">
        <v>25</v>
      </c>
      <c r="E76" s="62" t="s">
        <v>41</v>
      </c>
      <c r="F76" s="59" t="s">
        <v>80</v>
      </c>
      <c r="G76" s="51" t="s">
        <v>91</v>
      </c>
      <c r="H76" s="73" t="s">
        <v>215</v>
      </c>
      <c r="I76" s="51" t="s">
        <v>216</v>
      </c>
      <c r="J76" s="67" t="s">
        <v>29</v>
      </c>
      <c r="K76" s="67"/>
      <c r="L76" s="51" t="s">
        <v>682</v>
      </c>
      <c r="M76" s="60" t="str">
        <f t="shared" si="1"/>
        <v>0..1</v>
      </c>
      <c r="N76" s="53" t="s">
        <v>217</v>
      </c>
      <c r="O76" s="68" t="s">
        <v>218</v>
      </c>
    </row>
    <row r="77" spans="1:15" ht="24" x14ac:dyDescent="0.25">
      <c r="A77" s="76" t="s">
        <v>219</v>
      </c>
      <c r="B77" s="61">
        <v>1.3</v>
      </c>
      <c r="C77" s="57" t="s">
        <v>36</v>
      </c>
      <c r="D77" s="47" t="s">
        <v>100</v>
      </c>
      <c r="E77" s="62" t="s">
        <v>41</v>
      </c>
      <c r="F77" s="59" t="s">
        <v>80</v>
      </c>
      <c r="G77" s="51" t="s">
        <v>91</v>
      </c>
      <c r="H77" s="73" t="s">
        <v>157</v>
      </c>
      <c r="I77" s="51" t="s">
        <v>102</v>
      </c>
      <c r="J77" s="67" t="s">
        <v>102</v>
      </c>
      <c r="K77" s="67"/>
      <c r="L77" s="51" t="s">
        <v>680</v>
      </c>
      <c r="M77" s="60" t="str">
        <f t="shared" si="1"/>
        <v>0..1</v>
      </c>
      <c r="N77" s="53" t="s">
        <v>220</v>
      </c>
      <c r="O77" s="68" t="s">
        <v>221</v>
      </c>
    </row>
    <row r="78" spans="1:15" ht="24" x14ac:dyDescent="0.25">
      <c r="A78" s="76" t="s">
        <v>222</v>
      </c>
      <c r="B78" s="78" t="s">
        <v>629</v>
      </c>
      <c r="C78" s="57" t="s">
        <v>130</v>
      </c>
      <c r="D78" s="47" t="s">
        <v>131</v>
      </c>
      <c r="E78" s="62" t="s">
        <v>41</v>
      </c>
      <c r="F78" s="59" t="s">
        <v>80</v>
      </c>
      <c r="G78" s="51" t="s">
        <v>91</v>
      </c>
      <c r="H78" s="73" t="s">
        <v>144</v>
      </c>
      <c r="I78" s="51" t="s">
        <v>133</v>
      </c>
      <c r="J78" s="67" t="s">
        <v>134</v>
      </c>
      <c r="K78" s="67"/>
      <c r="L78" s="51" t="s">
        <v>681</v>
      </c>
      <c r="M78" s="60" t="str">
        <f t="shared" si="1"/>
        <v>0..1</v>
      </c>
      <c r="N78" s="53" t="s">
        <v>144</v>
      </c>
      <c r="O78" s="54" t="s">
        <v>133</v>
      </c>
    </row>
    <row r="79" spans="1:15" x14ac:dyDescent="0.25">
      <c r="A79" s="76" t="s">
        <v>223</v>
      </c>
      <c r="B79" s="61" t="s">
        <v>623</v>
      </c>
      <c r="C79" s="57" t="s">
        <v>36</v>
      </c>
      <c r="D79" s="47" t="s">
        <v>25</v>
      </c>
      <c r="E79" s="62" t="s">
        <v>41</v>
      </c>
      <c r="F79" s="59" t="s">
        <v>80</v>
      </c>
      <c r="G79" s="51" t="s">
        <v>91</v>
      </c>
      <c r="H79" s="51" t="s">
        <v>224</v>
      </c>
      <c r="I79" s="51" t="s">
        <v>89</v>
      </c>
      <c r="J79" s="67" t="s">
        <v>29</v>
      </c>
      <c r="K79" s="67"/>
      <c r="L79" s="51" t="s">
        <v>673</v>
      </c>
      <c r="M79" s="60" t="str">
        <f t="shared" si="1"/>
        <v>0..1</v>
      </c>
      <c r="N79" s="53" t="s">
        <v>225</v>
      </c>
      <c r="O79" s="68" t="s">
        <v>94</v>
      </c>
    </row>
    <row r="80" spans="1:15" x14ac:dyDescent="0.25">
      <c r="A80" s="55" t="s">
        <v>226</v>
      </c>
      <c r="B80" s="61">
        <v>100.97</v>
      </c>
      <c r="C80" s="57" t="s">
        <v>36</v>
      </c>
      <c r="D80" s="47" t="s">
        <v>100</v>
      </c>
      <c r="E80" s="62" t="s">
        <v>41</v>
      </c>
      <c r="F80" s="59" t="s">
        <v>80</v>
      </c>
      <c r="G80" s="51" t="s">
        <v>91</v>
      </c>
      <c r="H80" s="51" t="s">
        <v>207</v>
      </c>
      <c r="I80" s="51" t="s">
        <v>157</v>
      </c>
      <c r="J80" s="51" t="s">
        <v>102</v>
      </c>
      <c r="K80" s="51"/>
      <c r="L80" s="51" t="s">
        <v>674</v>
      </c>
      <c r="M80" s="60" t="str">
        <f t="shared" si="1"/>
        <v>0..1</v>
      </c>
      <c r="N80" s="53" t="s">
        <v>210</v>
      </c>
      <c r="O80" s="68" t="s">
        <v>211</v>
      </c>
    </row>
    <row r="81" spans="1:15" x14ac:dyDescent="0.25">
      <c r="A81" s="55" t="s">
        <v>227</v>
      </c>
      <c r="B81" s="61">
        <v>1.1040000000000001</v>
      </c>
      <c r="C81" s="57" t="s">
        <v>36</v>
      </c>
      <c r="D81" s="47" t="s">
        <v>100</v>
      </c>
      <c r="E81" s="62" t="s">
        <v>41</v>
      </c>
      <c r="F81" s="59" t="s">
        <v>80</v>
      </c>
      <c r="G81" s="51" t="s">
        <v>91</v>
      </c>
      <c r="H81" s="51" t="s">
        <v>207</v>
      </c>
      <c r="I81" s="51" t="s">
        <v>157</v>
      </c>
      <c r="J81" s="51" t="s">
        <v>102</v>
      </c>
      <c r="K81" s="51"/>
      <c r="L81" s="51" t="s">
        <v>675</v>
      </c>
      <c r="M81" s="60" t="str">
        <f t="shared" si="1"/>
        <v>0..1</v>
      </c>
      <c r="N81" s="80" t="s">
        <v>228</v>
      </c>
      <c r="O81" s="54" t="s">
        <v>160</v>
      </c>
    </row>
    <row r="82" spans="1:15" x14ac:dyDescent="0.25">
      <c r="A82" s="76" t="s">
        <v>229</v>
      </c>
      <c r="B82" s="61">
        <v>296</v>
      </c>
      <c r="C82" s="57" t="s">
        <v>36</v>
      </c>
      <c r="D82" s="47" t="s">
        <v>100</v>
      </c>
      <c r="E82" s="62" t="s">
        <v>41</v>
      </c>
      <c r="F82" s="59" t="s">
        <v>80</v>
      </c>
      <c r="G82" s="67" t="s">
        <v>80</v>
      </c>
      <c r="H82" s="51" t="s">
        <v>230</v>
      </c>
      <c r="I82" s="51" t="s">
        <v>231</v>
      </c>
      <c r="J82" s="51" t="s">
        <v>102</v>
      </c>
      <c r="K82" s="51"/>
      <c r="L82" s="51" t="s">
        <v>31</v>
      </c>
      <c r="M82" s="60" t="str">
        <f>IF(E83="x","0","1")&amp;".."&amp;(IF(C82="list","n","1"))</f>
        <v>0..1</v>
      </c>
      <c r="N82" s="53" t="s">
        <v>232</v>
      </c>
      <c r="O82" s="68" t="s">
        <v>232</v>
      </c>
    </row>
    <row r="83" spans="1:15" x14ac:dyDescent="0.25">
      <c r="A83" s="76" t="s">
        <v>233</v>
      </c>
      <c r="B83" s="61">
        <v>1.1952</v>
      </c>
      <c r="C83" s="57" t="s">
        <v>36</v>
      </c>
      <c r="D83" s="47" t="s">
        <v>100</v>
      </c>
      <c r="E83" s="62" t="s">
        <v>41</v>
      </c>
      <c r="F83" s="59" t="s">
        <v>80</v>
      </c>
      <c r="G83" s="67" t="s">
        <v>80</v>
      </c>
      <c r="H83" s="51" t="s">
        <v>234</v>
      </c>
      <c r="I83" s="51" t="s">
        <v>207</v>
      </c>
      <c r="J83" s="51" t="s">
        <v>102</v>
      </c>
      <c r="K83" s="51"/>
      <c r="L83" s="51" t="s">
        <v>31</v>
      </c>
      <c r="M83" s="77" t="str">
        <f>IF(E84="x","0","1")&amp;".."&amp;(IF(C83="list","n","1"))</f>
        <v>0..1</v>
      </c>
      <c r="N83" s="53" t="s">
        <v>210</v>
      </c>
      <c r="O83" s="68" t="s">
        <v>211</v>
      </c>
    </row>
    <row r="84" spans="1:15" x14ac:dyDescent="0.25">
      <c r="A84" s="76" t="s">
        <v>235</v>
      </c>
      <c r="B84" s="61">
        <v>104.8</v>
      </c>
      <c r="C84" s="57" t="s">
        <v>36</v>
      </c>
      <c r="D84" s="47" t="s">
        <v>100</v>
      </c>
      <c r="E84" s="62" t="s">
        <v>41</v>
      </c>
      <c r="F84" s="59" t="s">
        <v>80</v>
      </c>
      <c r="G84" s="67" t="s">
        <v>80</v>
      </c>
      <c r="H84" s="51" t="s">
        <v>236</v>
      </c>
      <c r="I84" s="51" t="s">
        <v>207</v>
      </c>
      <c r="J84" s="51" t="s">
        <v>102</v>
      </c>
      <c r="K84" s="51"/>
      <c r="L84" s="51" t="s">
        <v>31</v>
      </c>
      <c r="M84" s="60" t="str">
        <f t="shared" si="1"/>
        <v>0..1</v>
      </c>
      <c r="N84" s="53" t="s">
        <v>232</v>
      </c>
      <c r="O84" s="68" t="s">
        <v>232</v>
      </c>
    </row>
    <row r="85" spans="1:15" ht="36" x14ac:dyDescent="0.25">
      <c r="A85" s="76" t="s">
        <v>237</v>
      </c>
      <c r="B85" s="61">
        <v>1.1000000000000001</v>
      </c>
      <c r="C85" s="57" t="s">
        <v>36</v>
      </c>
      <c r="D85" s="47" t="s">
        <v>100</v>
      </c>
      <c r="E85" s="62" t="s">
        <v>41</v>
      </c>
      <c r="F85" s="59" t="s">
        <v>80</v>
      </c>
      <c r="G85" s="67" t="s">
        <v>80</v>
      </c>
      <c r="H85" s="51" t="s">
        <v>238</v>
      </c>
      <c r="I85" s="51" t="s">
        <v>102</v>
      </c>
      <c r="J85" s="51" t="s">
        <v>102</v>
      </c>
      <c r="K85" s="51"/>
      <c r="L85" s="51" t="s">
        <v>239</v>
      </c>
      <c r="M85" s="60" t="str">
        <f t="shared" si="1"/>
        <v>0..1</v>
      </c>
      <c r="N85" s="53" t="s">
        <v>237</v>
      </c>
      <c r="O85" s="68" t="s">
        <v>240</v>
      </c>
    </row>
    <row r="86" spans="1:15" ht="24" x14ac:dyDescent="0.25">
      <c r="A86" s="76" t="s">
        <v>241</v>
      </c>
      <c r="B86" s="61" t="s">
        <v>358</v>
      </c>
      <c r="C86" s="57" t="s">
        <v>55</v>
      </c>
      <c r="D86" s="47" t="s">
        <v>25</v>
      </c>
      <c r="E86" s="62" t="s">
        <v>41</v>
      </c>
      <c r="F86" s="59" t="s">
        <v>80</v>
      </c>
      <c r="G86" s="67" t="s">
        <v>80</v>
      </c>
      <c r="H86" s="51" t="s">
        <v>241</v>
      </c>
      <c r="I86" s="51" t="s">
        <v>29</v>
      </c>
      <c r="J86" s="51" t="s">
        <v>29</v>
      </c>
      <c r="K86" s="51"/>
      <c r="L86" s="51" t="s">
        <v>242</v>
      </c>
      <c r="M86" s="60" t="str">
        <f t="shared" si="1"/>
        <v>0..n</v>
      </c>
      <c r="N86" s="53" t="s">
        <v>43</v>
      </c>
      <c r="O86" s="68" t="s">
        <v>243</v>
      </c>
    </row>
    <row r="87" spans="1:15" x14ac:dyDescent="0.25">
      <c r="A87" s="76" t="s">
        <v>244</v>
      </c>
      <c r="B87" s="61">
        <v>99.840999999999994</v>
      </c>
      <c r="C87" s="57" t="s">
        <v>36</v>
      </c>
      <c r="D87" s="47" t="s">
        <v>100</v>
      </c>
      <c r="E87" s="62" t="s">
        <v>41</v>
      </c>
      <c r="F87" s="59" t="s">
        <v>80</v>
      </c>
      <c r="G87" s="67" t="s">
        <v>80</v>
      </c>
      <c r="H87" s="51" t="s">
        <v>245</v>
      </c>
      <c r="I87" s="51" t="s">
        <v>157</v>
      </c>
      <c r="J87" s="51" t="s">
        <v>102</v>
      </c>
      <c r="K87" s="51"/>
      <c r="L87" s="51" t="s">
        <v>246</v>
      </c>
      <c r="M87" s="60" t="str">
        <f t="shared" si="1"/>
        <v>0..1</v>
      </c>
      <c r="N87" s="53" t="s">
        <v>247</v>
      </c>
      <c r="O87" s="68" t="s">
        <v>211</v>
      </c>
    </row>
    <row r="88" spans="1:15" x14ac:dyDescent="0.25">
      <c r="A88" s="76" t="s">
        <v>248</v>
      </c>
      <c r="B88" s="61">
        <v>3.9119999999999999</v>
      </c>
      <c r="C88" s="57" t="s">
        <v>36</v>
      </c>
      <c r="D88" s="47" t="s">
        <v>100</v>
      </c>
      <c r="E88" s="62" t="s">
        <v>41</v>
      </c>
      <c r="F88" s="59" t="s">
        <v>80</v>
      </c>
      <c r="G88" s="67" t="s">
        <v>80</v>
      </c>
      <c r="H88" s="51" t="s">
        <v>245</v>
      </c>
      <c r="I88" s="51" t="s">
        <v>157</v>
      </c>
      <c r="J88" s="51" t="s">
        <v>102</v>
      </c>
      <c r="K88" s="51"/>
      <c r="L88" s="51" t="s">
        <v>249</v>
      </c>
      <c r="M88" s="60" t="str">
        <f t="shared" si="1"/>
        <v>0..1</v>
      </c>
      <c r="N88" s="80" t="s">
        <v>228</v>
      </c>
      <c r="O88" s="54" t="s">
        <v>160</v>
      </c>
    </row>
    <row r="89" spans="1:15" x14ac:dyDescent="0.25">
      <c r="A89" s="76" t="s">
        <v>250</v>
      </c>
      <c r="B89" s="61">
        <v>296</v>
      </c>
      <c r="C89" s="57" t="s">
        <v>36</v>
      </c>
      <c r="D89" s="47" t="s">
        <v>100</v>
      </c>
      <c r="E89" s="62" t="s">
        <v>41</v>
      </c>
      <c r="F89" s="59" t="s">
        <v>80</v>
      </c>
      <c r="G89" s="67" t="s">
        <v>80</v>
      </c>
      <c r="H89" s="51" t="s">
        <v>231</v>
      </c>
      <c r="I89" s="51" t="s">
        <v>207</v>
      </c>
      <c r="J89" s="51" t="s">
        <v>102</v>
      </c>
      <c r="K89" s="51"/>
      <c r="L89" s="51" t="s">
        <v>31</v>
      </c>
      <c r="M89" s="60" t="str">
        <f t="shared" si="1"/>
        <v>0..1</v>
      </c>
      <c r="N89" s="53" t="s">
        <v>232</v>
      </c>
      <c r="O89" s="68" t="s">
        <v>232</v>
      </c>
    </row>
    <row r="90" spans="1:15" ht="75" x14ac:dyDescent="0.25">
      <c r="A90" s="63" t="s">
        <v>527</v>
      </c>
      <c r="B90" s="81" t="s">
        <v>611</v>
      </c>
      <c r="C90" s="57" t="s">
        <v>289</v>
      </c>
      <c r="D90" s="47" t="s">
        <v>25</v>
      </c>
      <c r="E90" s="62" t="s">
        <v>41</v>
      </c>
      <c r="F90" s="59" t="s">
        <v>80</v>
      </c>
      <c r="G90" s="67" t="s">
        <v>80</v>
      </c>
      <c r="H90" s="51" t="s">
        <v>562</v>
      </c>
      <c r="I90" s="51" t="s">
        <v>560</v>
      </c>
      <c r="J90" s="51" t="s">
        <v>29</v>
      </c>
      <c r="K90" s="51"/>
      <c r="L90" s="51"/>
      <c r="M90" s="60" t="str">
        <f t="shared" si="1"/>
        <v>0..1</v>
      </c>
      <c r="N90" s="53" t="s">
        <v>43</v>
      </c>
      <c r="O90" s="68" t="s">
        <v>243</v>
      </c>
    </row>
    <row r="91" spans="1:15" x14ac:dyDescent="0.25">
      <c r="A91" s="63" t="s">
        <v>545</v>
      </c>
      <c r="B91" s="64">
        <v>1500000000</v>
      </c>
      <c r="C91" s="57" t="s">
        <v>36</v>
      </c>
      <c r="D91" s="47" t="s">
        <v>100</v>
      </c>
      <c r="E91" s="62" t="s">
        <v>41</v>
      </c>
      <c r="F91" s="59" t="s">
        <v>80</v>
      </c>
      <c r="G91" s="67" t="s">
        <v>80</v>
      </c>
      <c r="H91" s="51" t="s">
        <v>252</v>
      </c>
      <c r="I91" s="51" t="s">
        <v>252</v>
      </c>
      <c r="J91" s="51" t="s">
        <v>102</v>
      </c>
      <c r="K91" s="51"/>
      <c r="L91" s="51" t="s">
        <v>31</v>
      </c>
      <c r="M91" s="60" t="str">
        <f t="shared" ref="M91" si="5">IF(E91="x","0","1")&amp;".."&amp;(IF(C91="list","n","1"))</f>
        <v>0..1</v>
      </c>
      <c r="N91" s="53" t="s">
        <v>43</v>
      </c>
      <c r="O91" s="54" t="s">
        <v>104</v>
      </c>
    </row>
    <row r="92" spans="1:15" x14ac:dyDescent="0.25">
      <c r="A92" s="76" t="s">
        <v>251</v>
      </c>
      <c r="B92" s="64">
        <v>1500000000</v>
      </c>
      <c r="C92" s="57" t="s">
        <v>36</v>
      </c>
      <c r="D92" s="47" t="s">
        <v>100</v>
      </c>
      <c r="E92" s="62" t="s">
        <v>41</v>
      </c>
      <c r="F92" s="59" t="s">
        <v>80</v>
      </c>
      <c r="G92" s="67" t="s">
        <v>80</v>
      </c>
      <c r="H92" s="51" t="s">
        <v>252</v>
      </c>
      <c r="I92" s="51" t="s">
        <v>252</v>
      </c>
      <c r="J92" s="51" t="s">
        <v>102</v>
      </c>
      <c r="K92" s="51"/>
      <c r="L92" s="51" t="s">
        <v>31</v>
      </c>
      <c r="M92" s="60" t="str">
        <f t="shared" si="1"/>
        <v>0..1</v>
      </c>
      <c r="N92" s="53" t="s">
        <v>43</v>
      </c>
      <c r="O92" s="54" t="s">
        <v>104</v>
      </c>
    </row>
    <row r="93" spans="1:15" x14ac:dyDescent="0.25">
      <c r="A93" s="76" t="s">
        <v>253</v>
      </c>
      <c r="B93" s="61">
        <v>10000</v>
      </c>
      <c r="C93" s="57" t="s">
        <v>36</v>
      </c>
      <c r="D93" s="47" t="s">
        <v>100</v>
      </c>
      <c r="E93" s="62" t="s">
        <v>41</v>
      </c>
      <c r="F93" s="59" t="s">
        <v>80</v>
      </c>
      <c r="G93" s="51" t="s">
        <v>252</v>
      </c>
      <c r="H93" s="51" t="s">
        <v>254</v>
      </c>
      <c r="I93" s="51" t="s">
        <v>102</v>
      </c>
      <c r="J93" s="51" t="s">
        <v>102</v>
      </c>
      <c r="K93" s="51"/>
      <c r="L93" s="51" t="s">
        <v>31</v>
      </c>
      <c r="M93" s="60" t="str">
        <f t="shared" si="1"/>
        <v>0..1</v>
      </c>
      <c r="N93" s="53" t="s">
        <v>43</v>
      </c>
      <c r="O93" s="54" t="s">
        <v>104</v>
      </c>
    </row>
    <row r="94" spans="1:15" x14ac:dyDescent="0.25">
      <c r="A94" s="82" t="s">
        <v>255</v>
      </c>
      <c r="B94" s="61">
        <v>22</v>
      </c>
      <c r="C94" s="57" t="s">
        <v>36</v>
      </c>
      <c r="D94" s="47" t="s">
        <v>50</v>
      </c>
      <c r="E94" s="62" t="s">
        <v>41</v>
      </c>
      <c r="F94" s="59" t="s">
        <v>80</v>
      </c>
      <c r="G94" s="51" t="s">
        <v>254</v>
      </c>
      <c r="H94" s="73" t="s">
        <v>256</v>
      </c>
      <c r="I94" s="51" t="s">
        <v>257</v>
      </c>
      <c r="J94" s="67" t="s">
        <v>52</v>
      </c>
      <c r="K94" s="67"/>
      <c r="L94" s="51" t="s">
        <v>31</v>
      </c>
      <c r="M94" s="60" t="str">
        <f t="shared" ref="M94:M140" si="6">IF(E94="x","0","1")&amp;".."&amp;(IF(C94="list","n","1"))</f>
        <v>0..1</v>
      </c>
      <c r="N94" s="53" t="s">
        <v>43</v>
      </c>
      <c r="O94" s="68" t="s">
        <v>258</v>
      </c>
    </row>
    <row r="95" spans="1:15" x14ac:dyDescent="0.25">
      <c r="A95" s="76" t="s">
        <v>259</v>
      </c>
      <c r="B95" s="64">
        <f>B92+B93</f>
        <v>1500010000</v>
      </c>
      <c r="C95" s="57" t="s">
        <v>36</v>
      </c>
      <c r="D95" s="47" t="s">
        <v>100</v>
      </c>
      <c r="E95" s="62" t="s">
        <v>41</v>
      </c>
      <c r="F95" s="59" t="s">
        <v>80</v>
      </c>
      <c r="G95" s="51" t="s">
        <v>252</v>
      </c>
      <c r="H95" s="51" t="s">
        <v>260</v>
      </c>
      <c r="I95" s="51" t="s">
        <v>102</v>
      </c>
      <c r="J95" s="51" t="s">
        <v>102</v>
      </c>
      <c r="K95" s="51"/>
      <c r="L95" s="51" t="s">
        <v>31</v>
      </c>
      <c r="M95" s="60" t="str">
        <f t="shared" si="6"/>
        <v>0..1</v>
      </c>
      <c r="N95" s="53" t="s">
        <v>43</v>
      </c>
      <c r="O95" s="54" t="s">
        <v>104</v>
      </c>
    </row>
    <row r="96" spans="1:15" ht="39" customHeight="1" x14ac:dyDescent="0.25">
      <c r="A96" s="76" t="s">
        <v>261</v>
      </c>
      <c r="B96" s="56" t="s">
        <v>262</v>
      </c>
      <c r="C96" s="57" t="s">
        <v>55</v>
      </c>
      <c r="D96" s="47" t="s">
        <v>25</v>
      </c>
      <c r="E96" s="62"/>
      <c r="F96" s="59" t="s">
        <v>80</v>
      </c>
      <c r="G96" s="51" t="s">
        <v>261</v>
      </c>
      <c r="H96" s="67" t="s">
        <v>261</v>
      </c>
      <c r="I96" s="51" t="s">
        <v>263</v>
      </c>
      <c r="J96" s="51" t="s">
        <v>29</v>
      </c>
      <c r="K96" s="51"/>
      <c r="L96" s="70" t="s">
        <v>670</v>
      </c>
      <c r="M96" s="60" t="str">
        <f t="shared" si="6"/>
        <v>1..n</v>
      </c>
      <c r="N96" s="53" t="s">
        <v>264</v>
      </c>
      <c r="O96" s="54" t="s">
        <v>265</v>
      </c>
    </row>
    <row r="97" spans="1:15" ht="44.25" customHeight="1" x14ac:dyDescent="0.25">
      <c r="A97" s="76" t="s">
        <v>266</v>
      </c>
      <c r="B97" s="61" t="s">
        <v>267</v>
      </c>
      <c r="C97" s="57" t="s">
        <v>55</v>
      </c>
      <c r="D97" s="47" t="s">
        <v>25</v>
      </c>
      <c r="E97" s="62"/>
      <c r="F97" s="59" t="s">
        <v>80</v>
      </c>
      <c r="G97" s="51" t="s">
        <v>261</v>
      </c>
      <c r="H97" s="73" t="s">
        <v>268</v>
      </c>
      <c r="I97" s="51" t="s">
        <v>268</v>
      </c>
      <c r="J97" s="67" t="s">
        <v>29</v>
      </c>
      <c r="K97" s="67"/>
      <c r="L97" s="83" t="s">
        <v>664</v>
      </c>
      <c r="M97" s="60" t="str">
        <f t="shared" si="6"/>
        <v>1..n</v>
      </c>
      <c r="N97" s="53" t="s">
        <v>80</v>
      </c>
      <c r="O97" s="54" t="s">
        <v>269</v>
      </c>
    </row>
    <row r="98" spans="1:15" x14ac:dyDescent="0.25">
      <c r="A98" s="55" t="s">
        <v>270</v>
      </c>
      <c r="B98" s="61" t="s">
        <v>271</v>
      </c>
      <c r="C98" s="57" t="s">
        <v>55</v>
      </c>
      <c r="D98" s="47" t="s">
        <v>25</v>
      </c>
      <c r="E98" s="84" t="s">
        <v>606</v>
      </c>
      <c r="F98" s="59" t="s">
        <v>80</v>
      </c>
      <c r="G98" s="51" t="s">
        <v>80</v>
      </c>
      <c r="H98" s="51" t="s">
        <v>272</v>
      </c>
      <c r="I98" s="51" t="s">
        <v>272</v>
      </c>
      <c r="J98" s="51" t="s">
        <v>29</v>
      </c>
      <c r="K98" s="51"/>
      <c r="L98" s="51" t="s">
        <v>31</v>
      </c>
      <c r="M98" s="60" t="str">
        <f>IF(E98="x","0","1")&amp;".."&amp;(IF(C98="list","n","1"))</f>
        <v>1..n</v>
      </c>
      <c r="N98" s="53" t="s">
        <v>1</v>
      </c>
      <c r="O98" s="54" t="s">
        <v>265</v>
      </c>
    </row>
    <row r="99" spans="1:15" x14ac:dyDescent="0.25">
      <c r="A99" s="55" t="s">
        <v>273</v>
      </c>
      <c r="B99" s="61" t="s">
        <v>274</v>
      </c>
      <c r="C99" s="57" t="s">
        <v>55</v>
      </c>
      <c r="D99" s="47" t="s">
        <v>25</v>
      </c>
      <c r="E99" s="84" t="s">
        <v>606</v>
      </c>
      <c r="F99" s="59" t="s">
        <v>80</v>
      </c>
      <c r="G99" s="51" t="s">
        <v>80</v>
      </c>
      <c r="H99" s="51" t="s">
        <v>275</v>
      </c>
      <c r="I99" s="51" t="s">
        <v>275</v>
      </c>
      <c r="J99" s="51" t="s">
        <v>29</v>
      </c>
      <c r="K99" s="51"/>
      <c r="L99" s="51" t="s">
        <v>31</v>
      </c>
      <c r="M99" s="60" t="str">
        <f>IF(E99="x","0","1")&amp;".."&amp;(IF(C99="list","n","1"))</f>
        <v>1..n</v>
      </c>
      <c r="N99" s="53" t="s">
        <v>276</v>
      </c>
      <c r="O99" s="54" t="s">
        <v>265</v>
      </c>
    </row>
    <row r="100" spans="1:15" x14ac:dyDescent="0.25">
      <c r="A100" s="76" t="s">
        <v>277</v>
      </c>
      <c r="B100" s="61" t="s">
        <v>278</v>
      </c>
      <c r="C100" s="57" t="s">
        <v>55</v>
      </c>
      <c r="D100" s="47" t="s">
        <v>25</v>
      </c>
      <c r="E100" s="62"/>
      <c r="F100" s="59" t="s">
        <v>80</v>
      </c>
      <c r="G100" s="51" t="s">
        <v>279</v>
      </c>
      <c r="H100" s="51" t="s">
        <v>280</v>
      </c>
      <c r="I100" s="51" t="s">
        <v>280</v>
      </c>
      <c r="J100" s="51" t="s">
        <v>29</v>
      </c>
      <c r="K100" s="51"/>
      <c r="L100" s="51" t="s">
        <v>31</v>
      </c>
      <c r="M100" s="60" t="str">
        <f t="shared" si="6"/>
        <v>1..n</v>
      </c>
      <c r="N100" s="53" t="s">
        <v>280</v>
      </c>
      <c r="O100" s="54" t="s">
        <v>281</v>
      </c>
    </row>
    <row r="101" spans="1:15" ht="36" x14ac:dyDescent="0.25">
      <c r="A101" s="76" t="s">
        <v>282</v>
      </c>
      <c r="B101" s="61" t="s">
        <v>630</v>
      </c>
      <c r="C101" s="57" t="s">
        <v>24</v>
      </c>
      <c r="D101" s="47" t="s">
        <v>25</v>
      </c>
      <c r="E101" s="62" t="s">
        <v>41</v>
      </c>
      <c r="F101" s="59" t="s">
        <v>80</v>
      </c>
      <c r="G101" s="67" t="s">
        <v>80</v>
      </c>
      <c r="H101" s="85" t="s">
        <v>282</v>
      </c>
      <c r="I101" s="51" t="s">
        <v>29</v>
      </c>
      <c r="J101" s="51" t="s">
        <v>29</v>
      </c>
      <c r="K101" s="85"/>
      <c r="L101" s="51" t="s">
        <v>283</v>
      </c>
      <c r="M101" s="60" t="str">
        <f t="shared" si="6"/>
        <v>0..1</v>
      </c>
      <c r="N101" s="53" t="s">
        <v>43</v>
      </c>
      <c r="O101" s="54" t="s">
        <v>104</v>
      </c>
    </row>
    <row r="102" spans="1:15" x14ac:dyDescent="0.25">
      <c r="A102" s="55" t="s">
        <v>284</v>
      </c>
      <c r="B102" s="61" t="s">
        <v>624</v>
      </c>
      <c r="C102" s="57" t="s">
        <v>576</v>
      </c>
      <c r="D102" s="47" t="s">
        <v>25</v>
      </c>
      <c r="E102" s="62" t="s">
        <v>41</v>
      </c>
      <c r="F102" s="59" t="s">
        <v>285</v>
      </c>
      <c r="G102" s="51" t="s">
        <v>26</v>
      </c>
      <c r="H102" s="51" t="s">
        <v>27</v>
      </c>
      <c r="I102" s="51" t="s">
        <v>27</v>
      </c>
      <c r="J102" s="51" t="s">
        <v>29</v>
      </c>
      <c r="K102" s="51"/>
      <c r="L102" s="51" t="s">
        <v>663</v>
      </c>
      <c r="M102" s="60" t="str">
        <f t="shared" si="6"/>
        <v>0..1</v>
      </c>
      <c r="N102" s="53" t="s">
        <v>32</v>
      </c>
      <c r="O102" s="54" t="s">
        <v>33</v>
      </c>
    </row>
    <row r="103" spans="1:15" ht="45" customHeight="1" x14ac:dyDescent="0.25">
      <c r="A103" s="55" t="s">
        <v>564</v>
      </c>
      <c r="B103" s="61" t="s">
        <v>625</v>
      </c>
      <c r="C103" s="57" t="s">
        <v>576</v>
      </c>
      <c r="D103" s="47" t="s">
        <v>25</v>
      </c>
      <c r="E103" s="62" t="s">
        <v>41</v>
      </c>
      <c r="F103" s="59" t="s">
        <v>285</v>
      </c>
      <c r="G103" s="51" t="s">
        <v>26</v>
      </c>
      <c r="H103" s="51" t="s">
        <v>27</v>
      </c>
      <c r="I103" s="51" t="s">
        <v>27</v>
      </c>
      <c r="J103" s="51" t="s">
        <v>29</v>
      </c>
      <c r="K103" s="51"/>
      <c r="L103" s="51" t="s">
        <v>31</v>
      </c>
      <c r="M103" s="60" t="s">
        <v>286</v>
      </c>
      <c r="N103" s="53" t="s">
        <v>32</v>
      </c>
      <c r="O103" s="54" t="s">
        <v>33</v>
      </c>
    </row>
    <row r="104" spans="1:15" ht="40.5" customHeight="1" x14ac:dyDescent="0.25">
      <c r="A104" s="63" t="s">
        <v>565</v>
      </c>
      <c r="B104" s="61" t="s">
        <v>626</v>
      </c>
      <c r="C104" s="57" t="s">
        <v>576</v>
      </c>
      <c r="D104" s="47" t="s">
        <v>25</v>
      </c>
      <c r="E104" s="62" t="s">
        <v>41</v>
      </c>
      <c r="F104" s="59" t="s">
        <v>285</v>
      </c>
      <c r="G104" s="51" t="s">
        <v>26</v>
      </c>
      <c r="H104" s="51" t="s">
        <v>27</v>
      </c>
      <c r="I104" s="51" t="s">
        <v>27</v>
      </c>
      <c r="J104" s="51" t="s">
        <v>29</v>
      </c>
      <c r="K104" s="51"/>
      <c r="L104" s="51" t="s">
        <v>31</v>
      </c>
      <c r="M104" s="60" t="s">
        <v>286</v>
      </c>
      <c r="N104" s="53" t="s">
        <v>32</v>
      </c>
      <c r="O104" s="54" t="s">
        <v>33</v>
      </c>
    </row>
    <row r="105" spans="1:15" ht="37.5" customHeight="1" x14ac:dyDescent="0.25">
      <c r="A105" s="63" t="s">
        <v>566</v>
      </c>
      <c r="B105" s="61" t="s">
        <v>627</v>
      </c>
      <c r="C105" s="57" t="s">
        <v>576</v>
      </c>
      <c r="D105" s="47" t="s">
        <v>25</v>
      </c>
      <c r="E105" s="62" t="s">
        <v>41</v>
      </c>
      <c r="F105" s="59" t="s">
        <v>285</v>
      </c>
      <c r="G105" s="51" t="s">
        <v>26</v>
      </c>
      <c r="H105" s="51" t="s">
        <v>27</v>
      </c>
      <c r="I105" s="51" t="s">
        <v>27</v>
      </c>
      <c r="J105" s="51" t="s">
        <v>29</v>
      </c>
      <c r="K105" s="51"/>
      <c r="L105" s="51" t="s">
        <v>31</v>
      </c>
      <c r="M105" s="60" t="s">
        <v>286</v>
      </c>
      <c r="N105" s="53" t="s">
        <v>32</v>
      </c>
      <c r="O105" s="54" t="s">
        <v>33</v>
      </c>
    </row>
    <row r="106" spans="1:15" x14ac:dyDescent="0.25">
      <c r="A106" s="55" t="s">
        <v>287</v>
      </c>
      <c r="B106" s="61" t="s">
        <v>628</v>
      </c>
      <c r="C106" s="57" t="s">
        <v>576</v>
      </c>
      <c r="D106" s="47" t="s">
        <v>25</v>
      </c>
      <c r="E106" s="62" t="s">
        <v>41</v>
      </c>
      <c r="F106" s="59" t="s">
        <v>285</v>
      </c>
      <c r="G106" s="51" t="s">
        <v>26</v>
      </c>
      <c r="H106" s="51" t="s">
        <v>27</v>
      </c>
      <c r="I106" s="51" t="s">
        <v>27</v>
      </c>
      <c r="J106" s="51" t="s">
        <v>29</v>
      </c>
      <c r="K106" s="51"/>
      <c r="L106" s="51" t="s">
        <v>31</v>
      </c>
      <c r="M106" s="60" t="str">
        <f t="shared" si="6"/>
        <v>0..1</v>
      </c>
      <c r="N106" s="53" t="s">
        <v>32</v>
      </c>
      <c r="O106" s="54" t="s">
        <v>33</v>
      </c>
    </row>
    <row r="107" spans="1:15" x14ac:dyDescent="0.25">
      <c r="A107" s="55" t="s">
        <v>288</v>
      </c>
      <c r="B107" s="86" t="s">
        <v>628</v>
      </c>
      <c r="C107" s="57" t="s">
        <v>576</v>
      </c>
      <c r="D107" s="47" t="s">
        <v>25</v>
      </c>
      <c r="E107" s="62" t="s">
        <v>41</v>
      </c>
      <c r="F107" s="59" t="s">
        <v>285</v>
      </c>
      <c r="G107" s="51" t="s">
        <v>26</v>
      </c>
      <c r="H107" s="51" t="s">
        <v>27</v>
      </c>
      <c r="I107" s="51" t="s">
        <v>27</v>
      </c>
      <c r="J107" s="51" t="s">
        <v>29</v>
      </c>
      <c r="K107" s="51"/>
      <c r="L107" s="51" t="s">
        <v>31</v>
      </c>
      <c r="M107" s="60" t="str">
        <f t="shared" si="6"/>
        <v>0..1</v>
      </c>
      <c r="N107" s="53" t="s">
        <v>32</v>
      </c>
      <c r="O107" s="54" t="s">
        <v>33</v>
      </c>
    </row>
    <row r="108" spans="1:15" ht="38.25" customHeight="1" x14ac:dyDescent="0.25">
      <c r="A108" s="55" t="s">
        <v>290</v>
      </c>
      <c r="B108" s="86" t="s">
        <v>628</v>
      </c>
      <c r="C108" s="57" t="s">
        <v>576</v>
      </c>
      <c r="D108" s="47" t="s">
        <v>25</v>
      </c>
      <c r="E108" s="62" t="s">
        <v>41</v>
      </c>
      <c r="F108" s="59" t="s">
        <v>285</v>
      </c>
      <c r="G108" s="51" t="s">
        <v>26</v>
      </c>
      <c r="H108" s="51" t="s">
        <v>27</v>
      </c>
      <c r="I108" s="51" t="s">
        <v>27</v>
      </c>
      <c r="J108" s="51" t="s">
        <v>29</v>
      </c>
      <c r="K108" s="51"/>
      <c r="L108" s="51" t="s">
        <v>31</v>
      </c>
      <c r="M108" s="60" t="str">
        <f t="shared" si="6"/>
        <v>0..1</v>
      </c>
      <c r="N108" s="53" t="s">
        <v>32</v>
      </c>
      <c r="O108" s="54" t="s">
        <v>33</v>
      </c>
    </row>
    <row r="109" spans="1:15" x14ac:dyDescent="0.25">
      <c r="A109" s="55" t="s">
        <v>291</v>
      </c>
      <c r="B109" s="86" t="s">
        <v>628</v>
      </c>
      <c r="C109" s="57" t="s">
        <v>576</v>
      </c>
      <c r="D109" s="47" t="s">
        <v>25</v>
      </c>
      <c r="E109" s="62" t="s">
        <v>41</v>
      </c>
      <c r="F109" s="59" t="s">
        <v>285</v>
      </c>
      <c r="G109" s="51" t="s">
        <v>26</v>
      </c>
      <c r="H109" s="51" t="s">
        <v>27</v>
      </c>
      <c r="I109" s="51" t="s">
        <v>27</v>
      </c>
      <c r="J109" s="51" t="s">
        <v>29</v>
      </c>
      <c r="K109" s="51"/>
      <c r="L109" s="51" t="s">
        <v>31</v>
      </c>
      <c r="M109" s="60" t="str">
        <f t="shared" si="6"/>
        <v>0..1</v>
      </c>
      <c r="N109" s="53" t="s">
        <v>32</v>
      </c>
      <c r="O109" s="54" t="s">
        <v>33</v>
      </c>
    </row>
    <row r="110" spans="1:15" ht="31.5" customHeight="1" x14ac:dyDescent="0.25">
      <c r="A110" s="55" t="s">
        <v>292</v>
      </c>
      <c r="B110" s="86" t="s">
        <v>628</v>
      </c>
      <c r="C110" s="57" t="s">
        <v>576</v>
      </c>
      <c r="D110" s="47" t="s">
        <v>25</v>
      </c>
      <c r="E110" s="62" t="s">
        <v>41</v>
      </c>
      <c r="F110" s="59" t="s">
        <v>285</v>
      </c>
      <c r="G110" s="51" t="s">
        <v>26</v>
      </c>
      <c r="H110" s="51" t="s">
        <v>27</v>
      </c>
      <c r="I110" s="51" t="s">
        <v>27</v>
      </c>
      <c r="J110" s="51" t="s">
        <v>29</v>
      </c>
      <c r="K110" s="51"/>
      <c r="L110" s="51" t="s">
        <v>31</v>
      </c>
      <c r="M110" s="60" t="str">
        <f t="shared" si="6"/>
        <v>0..1</v>
      </c>
      <c r="N110" s="53" t="s">
        <v>32</v>
      </c>
      <c r="O110" s="54" t="s">
        <v>33</v>
      </c>
    </row>
    <row r="111" spans="1:15" ht="24" x14ac:dyDescent="0.25">
      <c r="A111" s="55" t="s">
        <v>293</v>
      </c>
      <c r="B111" s="65" t="s">
        <v>294</v>
      </c>
      <c r="C111" s="57" t="s">
        <v>24</v>
      </c>
      <c r="D111" s="47" t="s">
        <v>25</v>
      </c>
      <c r="E111" s="62"/>
      <c r="F111" s="59" t="s">
        <v>80</v>
      </c>
      <c r="G111" s="51" t="s">
        <v>295</v>
      </c>
      <c r="H111" s="51" t="s">
        <v>296</v>
      </c>
      <c r="I111" s="51" t="s">
        <v>29</v>
      </c>
      <c r="J111" s="51" t="s">
        <v>29</v>
      </c>
      <c r="K111" s="51"/>
      <c r="L111" s="51" t="s">
        <v>297</v>
      </c>
      <c r="M111" s="60" t="str">
        <f t="shared" si="6"/>
        <v>1..1</v>
      </c>
      <c r="N111" s="53" t="s">
        <v>298</v>
      </c>
      <c r="O111" s="54" t="s">
        <v>33</v>
      </c>
    </row>
    <row r="112" spans="1:15" x14ac:dyDescent="0.25">
      <c r="A112" s="55" t="s">
        <v>299</v>
      </c>
      <c r="B112" s="74">
        <v>44249</v>
      </c>
      <c r="C112" s="57" t="s">
        <v>130</v>
      </c>
      <c r="D112" s="47" t="s">
        <v>131</v>
      </c>
      <c r="E112" s="62"/>
      <c r="F112" s="59" t="s">
        <v>80</v>
      </c>
      <c r="G112" s="51" t="s">
        <v>295</v>
      </c>
      <c r="H112" s="51" t="s">
        <v>300</v>
      </c>
      <c r="I112" s="51" t="s">
        <v>133</v>
      </c>
      <c r="J112" s="51" t="s">
        <v>134</v>
      </c>
      <c r="K112" s="51"/>
      <c r="L112" s="51" t="s">
        <v>301</v>
      </c>
      <c r="M112" s="60" t="str">
        <f t="shared" si="6"/>
        <v>1..1</v>
      </c>
      <c r="N112" s="53" t="s">
        <v>298</v>
      </c>
      <c r="O112" s="54" t="s">
        <v>133</v>
      </c>
    </row>
    <row r="113" spans="1:15" x14ac:dyDescent="0.25">
      <c r="A113" s="55" t="s">
        <v>302</v>
      </c>
      <c r="B113" s="87" t="s">
        <v>631</v>
      </c>
      <c r="C113" s="57" t="s">
        <v>24</v>
      </c>
      <c r="D113" s="47" t="s">
        <v>25</v>
      </c>
      <c r="E113" s="62"/>
      <c r="F113" s="59" t="s">
        <v>80</v>
      </c>
      <c r="G113" s="51" t="s">
        <v>295</v>
      </c>
      <c r="H113" s="51" t="s">
        <v>303</v>
      </c>
      <c r="I113" s="51" t="s">
        <v>29</v>
      </c>
      <c r="J113" s="51" t="s">
        <v>29</v>
      </c>
      <c r="K113" s="51" t="s">
        <v>75</v>
      </c>
      <c r="L113" s="51" t="s">
        <v>304</v>
      </c>
      <c r="M113" s="60" t="str">
        <f t="shared" si="6"/>
        <v>1..1</v>
      </c>
      <c r="N113" s="53" t="s">
        <v>298</v>
      </c>
      <c r="O113" s="54" t="s">
        <v>305</v>
      </c>
    </row>
    <row r="114" spans="1:15" ht="24" x14ac:dyDescent="0.25">
      <c r="A114" s="55" t="s">
        <v>306</v>
      </c>
      <c r="B114" s="61" t="s">
        <v>307</v>
      </c>
      <c r="C114" s="57" t="s">
        <v>55</v>
      </c>
      <c r="D114" s="47" t="s">
        <v>25</v>
      </c>
      <c r="E114" s="62"/>
      <c r="F114" s="59" t="s">
        <v>80</v>
      </c>
      <c r="G114" s="51" t="s">
        <v>80</v>
      </c>
      <c r="H114" s="51" t="s">
        <v>308</v>
      </c>
      <c r="I114" s="51" t="s">
        <v>308</v>
      </c>
      <c r="J114" s="51" t="s">
        <v>29</v>
      </c>
      <c r="K114" s="51"/>
      <c r="L114" s="51" t="s">
        <v>676</v>
      </c>
      <c r="M114" s="60" t="str">
        <f t="shared" si="6"/>
        <v>1..n</v>
      </c>
      <c r="N114" s="53" t="s">
        <v>309</v>
      </c>
      <c r="O114" s="54" t="s">
        <v>310</v>
      </c>
    </row>
    <row r="115" spans="1:15" ht="30" x14ac:dyDescent="0.25">
      <c r="A115" s="55" t="s">
        <v>311</v>
      </c>
      <c r="B115" s="61" t="s">
        <v>312</v>
      </c>
      <c r="C115" s="57" t="s">
        <v>55</v>
      </c>
      <c r="D115" s="47" t="s">
        <v>25</v>
      </c>
      <c r="E115" s="62"/>
      <c r="F115" s="59" t="s">
        <v>80</v>
      </c>
      <c r="G115" s="88" t="s">
        <v>80</v>
      </c>
      <c r="H115" s="85" t="s">
        <v>313</v>
      </c>
      <c r="I115" s="85" t="s">
        <v>313</v>
      </c>
      <c r="J115" s="67" t="s">
        <v>29</v>
      </c>
      <c r="K115" s="67"/>
      <c r="L115" s="51" t="s">
        <v>314</v>
      </c>
      <c r="M115" s="60" t="str">
        <f t="shared" si="6"/>
        <v>1..n</v>
      </c>
      <c r="N115" s="53" t="s">
        <v>315</v>
      </c>
      <c r="O115" s="68" t="s">
        <v>316</v>
      </c>
    </row>
    <row r="116" spans="1:15" ht="34.5" customHeight="1" x14ac:dyDescent="0.25">
      <c r="A116" s="55" t="s">
        <v>317</v>
      </c>
      <c r="B116" s="61" t="s">
        <v>632</v>
      </c>
      <c r="C116" s="57" t="s">
        <v>24</v>
      </c>
      <c r="D116" s="47" t="s">
        <v>25</v>
      </c>
      <c r="E116" s="62" t="s">
        <v>41</v>
      </c>
      <c r="F116" s="59" t="s">
        <v>80</v>
      </c>
      <c r="G116" s="51" t="s">
        <v>80</v>
      </c>
      <c r="H116" s="51" t="s">
        <v>318</v>
      </c>
      <c r="I116" s="51" t="s">
        <v>318</v>
      </c>
      <c r="J116" s="51" t="s">
        <v>29</v>
      </c>
      <c r="K116" s="51"/>
      <c r="L116" s="51" t="s">
        <v>31</v>
      </c>
      <c r="M116" s="60" t="str">
        <f t="shared" si="6"/>
        <v>0..1</v>
      </c>
      <c r="N116" s="53" t="s">
        <v>309</v>
      </c>
      <c r="O116" s="54" t="s">
        <v>310</v>
      </c>
    </row>
    <row r="117" spans="1:15" ht="48" customHeight="1" x14ac:dyDescent="0.25">
      <c r="A117" s="55" t="s">
        <v>319</v>
      </c>
      <c r="B117" s="89" t="s">
        <v>320</v>
      </c>
      <c r="C117" s="57" t="s">
        <v>55</v>
      </c>
      <c r="D117" s="47" t="s">
        <v>25</v>
      </c>
      <c r="E117" s="62"/>
      <c r="F117" s="59" t="s">
        <v>80</v>
      </c>
      <c r="G117" s="73" t="s">
        <v>80</v>
      </c>
      <c r="H117" s="51" t="s">
        <v>321</v>
      </c>
      <c r="I117" s="51" t="s">
        <v>321</v>
      </c>
      <c r="J117" s="51" t="s">
        <v>29</v>
      </c>
      <c r="K117" s="85"/>
      <c r="L117" s="51" t="s">
        <v>677</v>
      </c>
      <c r="M117" s="60" t="str">
        <f t="shared" si="6"/>
        <v>1..n</v>
      </c>
      <c r="N117" s="53" t="s">
        <v>43</v>
      </c>
      <c r="O117" s="54" t="s">
        <v>43</v>
      </c>
    </row>
    <row r="118" spans="1:15" x14ac:dyDescent="0.25">
      <c r="A118" s="55" t="s">
        <v>322</v>
      </c>
      <c r="B118" s="61" t="s">
        <v>323</v>
      </c>
      <c r="C118" s="57" t="s">
        <v>55</v>
      </c>
      <c r="D118" s="47" t="s">
        <v>25</v>
      </c>
      <c r="E118" s="62" t="s">
        <v>41</v>
      </c>
      <c r="F118" s="59" t="s">
        <v>80</v>
      </c>
      <c r="G118" s="51" t="s">
        <v>80</v>
      </c>
      <c r="H118" s="85" t="s">
        <v>324</v>
      </c>
      <c r="I118" s="51" t="s">
        <v>98</v>
      </c>
      <c r="J118" s="51" t="s">
        <v>29</v>
      </c>
      <c r="K118" s="85"/>
      <c r="L118" s="51" t="s">
        <v>31</v>
      </c>
      <c r="M118" s="60" t="str">
        <f t="shared" si="6"/>
        <v>0..n</v>
      </c>
      <c r="N118" s="53" t="s">
        <v>43</v>
      </c>
      <c r="O118" s="68" t="s">
        <v>43</v>
      </c>
    </row>
    <row r="119" spans="1:15" ht="30" x14ac:dyDescent="0.25">
      <c r="A119" s="55" t="s">
        <v>325</v>
      </c>
      <c r="B119" s="61" t="s">
        <v>326</v>
      </c>
      <c r="C119" s="57" t="s">
        <v>24</v>
      </c>
      <c r="D119" s="47" t="s">
        <v>25</v>
      </c>
      <c r="E119" s="62" t="s">
        <v>41</v>
      </c>
      <c r="F119" s="59" t="s">
        <v>80</v>
      </c>
      <c r="G119" s="51" t="s">
        <v>80</v>
      </c>
      <c r="H119" s="85" t="s">
        <v>327</v>
      </c>
      <c r="I119" s="51" t="s">
        <v>98</v>
      </c>
      <c r="J119" s="51" t="s">
        <v>29</v>
      </c>
      <c r="K119" s="85"/>
      <c r="L119" s="51" t="s">
        <v>31</v>
      </c>
      <c r="M119" s="60" t="str">
        <f t="shared" si="6"/>
        <v>0..1</v>
      </c>
      <c r="N119" s="53" t="s">
        <v>43</v>
      </c>
      <c r="O119" s="68" t="s">
        <v>43</v>
      </c>
    </row>
    <row r="120" spans="1:15" x14ac:dyDescent="0.25">
      <c r="A120" s="55" t="s">
        <v>328</v>
      </c>
      <c r="B120" s="61" t="s">
        <v>323</v>
      </c>
      <c r="C120" s="57" t="s">
        <v>55</v>
      </c>
      <c r="D120" s="47" t="s">
        <v>25</v>
      </c>
      <c r="E120" s="62" t="s">
        <v>41</v>
      </c>
      <c r="F120" s="59" t="s">
        <v>80</v>
      </c>
      <c r="G120" s="85" t="s">
        <v>80</v>
      </c>
      <c r="H120" s="85" t="s">
        <v>329</v>
      </c>
      <c r="I120" s="51" t="s">
        <v>98</v>
      </c>
      <c r="J120" s="51" t="s">
        <v>29</v>
      </c>
      <c r="K120" s="85"/>
      <c r="L120" s="51" t="s">
        <v>31</v>
      </c>
      <c r="M120" s="60" t="str">
        <f t="shared" si="6"/>
        <v>0..n</v>
      </c>
      <c r="N120" s="53" t="s">
        <v>43</v>
      </c>
      <c r="O120" s="68" t="s">
        <v>43</v>
      </c>
    </row>
    <row r="121" spans="1:15" ht="36" x14ac:dyDescent="0.25">
      <c r="A121" s="55" t="s">
        <v>330</v>
      </c>
      <c r="B121" s="61" t="s">
        <v>323</v>
      </c>
      <c r="C121" s="57" t="s">
        <v>55</v>
      </c>
      <c r="D121" s="47" t="s">
        <v>25</v>
      </c>
      <c r="E121" s="62" t="s">
        <v>41</v>
      </c>
      <c r="F121" s="59" t="s">
        <v>80</v>
      </c>
      <c r="G121" s="73" t="s">
        <v>80</v>
      </c>
      <c r="H121" s="85" t="s">
        <v>331</v>
      </c>
      <c r="I121" s="51" t="s">
        <v>98</v>
      </c>
      <c r="J121" s="51" t="s">
        <v>29</v>
      </c>
      <c r="K121" s="85"/>
      <c r="L121" s="51" t="s">
        <v>678</v>
      </c>
      <c r="M121" s="60" t="str">
        <f t="shared" si="6"/>
        <v>0..n</v>
      </c>
      <c r="N121" s="53" t="s">
        <v>43</v>
      </c>
      <c r="O121" s="68" t="s">
        <v>43</v>
      </c>
    </row>
    <row r="122" spans="1:15" x14ac:dyDescent="0.25">
      <c r="A122" s="55" t="s">
        <v>332</v>
      </c>
      <c r="B122" s="61" t="s">
        <v>323</v>
      </c>
      <c r="C122" s="57" t="s">
        <v>55</v>
      </c>
      <c r="D122" s="47" t="s">
        <v>25</v>
      </c>
      <c r="E122" s="62" t="s">
        <v>41</v>
      </c>
      <c r="F122" s="59" t="s">
        <v>47</v>
      </c>
      <c r="G122" s="67" t="s">
        <v>333</v>
      </c>
      <c r="H122" s="51" t="s">
        <v>333</v>
      </c>
      <c r="I122" s="51" t="s">
        <v>333</v>
      </c>
      <c r="J122" s="51" t="s">
        <v>29</v>
      </c>
      <c r="K122" s="85"/>
      <c r="L122" s="51" t="s">
        <v>31</v>
      </c>
      <c r="M122" s="60" t="str">
        <f t="shared" si="6"/>
        <v>0..n</v>
      </c>
      <c r="N122" s="53" t="s">
        <v>334</v>
      </c>
      <c r="O122" s="54" t="s">
        <v>335</v>
      </c>
    </row>
    <row r="123" spans="1:15" x14ac:dyDescent="0.25">
      <c r="A123" s="55" t="s">
        <v>336</v>
      </c>
      <c r="B123" s="74">
        <v>44614</v>
      </c>
      <c r="C123" s="57" t="s">
        <v>130</v>
      </c>
      <c r="D123" s="47" t="s">
        <v>131</v>
      </c>
      <c r="E123" s="62" t="s">
        <v>41</v>
      </c>
      <c r="F123" s="59" t="s">
        <v>80</v>
      </c>
      <c r="G123" s="67" t="s">
        <v>80</v>
      </c>
      <c r="H123" s="51" t="s">
        <v>337</v>
      </c>
      <c r="I123" s="51" t="s">
        <v>133</v>
      </c>
      <c r="J123" s="51" t="s">
        <v>134</v>
      </c>
      <c r="K123" s="51"/>
      <c r="L123" s="51" t="s">
        <v>31</v>
      </c>
      <c r="M123" s="60" t="str">
        <f t="shared" si="6"/>
        <v>0..1</v>
      </c>
      <c r="N123" s="53" t="s">
        <v>43</v>
      </c>
      <c r="O123" s="54" t="s">
        <v>133</v>
      </c>
    </row>
    <row r="124" spans="1:15" x14ac:dyDescent="0.25">
      <c r="A124" s="79" t="s">
        <v>338</v>
      </c>
      <c r="B124" s="74">
        <v>46629</v>
      </c>
      <c r="C124" s="57" t="s">
        <v>130</v>
      </c>
      <c r="D124" s="47" t="s">
        <v>131</v>
      </c>
      <c r="E124" s="62" t="s">
        <v>41</v>
      </c>
      <c r="F124" s="59" t="s">
        <v>80</v>
      </c>
      <c r="G124" s="67" t="s">
        <v>80</v>
      </c>
      <c r="H124" s="51" t="s">
        <v>338</v>
      </c>
      <c r="I124" s="51" t="s">
        <v>133</v>
      </c>
      <c r="J124" s="51" t="s">
        <v>134</v>
      </c>
      <c r="K124" s="51"/>
      <c r="L124" s="51"/>
      <c r="M124" s="60" t="str">
        <f t="shared" si="6"/>
        <v>0..1</v>
      </c>
      <c r="N124" s="53" t="s">
        <v>43</v>
      </c>
      <c r="O124" s="54" t="s">
        <v>139</v>
      </c>
    </row>
    <row r="125" spans="1:15" x14ac:dyDescent="0.25">
      <c r="A125" s="79" t="s">
        <v>339</v>
      </c>
      <c r="B125" s="74" t="s">
        <v>340</v>
      </c>
      <c r="C125" s="57" t="s">
        <v>36</v>
      </c>
      <c r="D125" s="47" t="s">
        <v>25</v>
      </c>
      <c r="E125" s="62" t="s">
        <v>41</v>
      </c>
      <c r="F125" s="59" t="s">
        <v>80</v>
      </c>
      <c r="G125" s="67" t="s">
        <v>80</v>
      </c>
      <c r="H125" s="51" t="s">
        <v>339</v>
      </c>
      <c r="I125" s="51" t="s">
        <v>133</v>
      </c>
      <c r="J125" s="51" t="s">
        <v>134</v>
      </c>
      <c r="K125" s="51"/>
      <c r="L125" s="51"/>
      <c r="M125" s="60" t="str">
        <f t="shared" si="6"/>
        <v>0..1</v>
      </c>
      <c r="N125" s="53" t="s">
        <v>43</v>
      </c>
      <c r="O125" s="54" t="s">
        <v>139</v>
      </c>
    </row>
    <row r="126" spans="1:15" x14ac:dyDescent="0.25">
      <c r="A126" s="63" t="s">
        <v>553</v>
      </c>
      <c r="B126" s="74" t="s">
        <v>554</v>
      </c>
      <c r="C126" s="57" t="s">
        <v>55</v>
      </c>
      <c r="D126" s="47" t="s">
        <v>25</v>
      </c>
      <c r="E126" s="62" t="s">
        <v>41</v>
      </c>
      <c r="F126" s="59" t="s">
        <v>80</v>
      </c>
      <c r="G126" s="67" t="s">
        <v>80</v>
      </c>
      <c r="H126" s="51" t="s">
        <v>568</v>
      </c>
      <c r="I126" s="51" t="s">
        <v>145</v>
      </c>
      <c r="J126" s="51" t="s">
        <v>29</v>
      </c>
      <c r="K126" s="51"/>
      <c r="L126" s="51"/>
      <c r="M126" s="60" t="str">
        <f t="shared" si="6"/>
        <v>0..n</v>
      </c>
      <c r="N126" s="53" t="s">
        <v>43</v>
      </c>
      <c r="O126" s="54" t="s">
        <v>243</v>
      </c>
    </row>
    <row r="127" spans="1:15" x14ac:dyDescent="0.25">
      <c r="A127" s="55" t="s">
        <v>341</v>
      </c>
      <c r="B127" s="64">
        <v>750000000</v>
      </c>
      <c r="C127" s="57" t="s">
        <v>36</v>
      </c>
      <c r="D127" s="47" t="s">
        <v>100</v>
      </c>
      <c r="E127" s="62" t="s">
        <v>41</v>
      </c>
      <c r="F127" s="59" t="s">
        <v>80</v>
      </c>
      <c r="G127" s="67" t="s">
        <v>80</v>
      </c>
      <c r="H127" s="51" t="s">
        <v>342</v>
      </c>
      <c r="I127" s="51" t="s">
        <v>102</v>
      </c>
      <c r="J127" s="51" t="s">
        <v>102</v>
      </c>
      <c r="K127" s="51"/>
      <c r="L127" s="51" t="s">
        <v>31</v>
      </c>
      <c r="M127" s="60" t="str">
        <f t="shared" si="6"/>
        <v>0..1</v>
      </c>
      <c r="N127" s="53" t="s">
        <v>43</v>
      </c>
      <c r="O127" s="54" t="s">
        <v>104</v>
      </c>
    </row>
    <row r="128" spans="1:15" x14ac:dyDescent="0.25">
      <c r="A128" s="55" t="s">
        <v>343</v>
      </c>
      <c r="B128" s="61">
        <v>3.9119999999999999</v>
      </c>
      <c r="C128" s="57" t="s">
        <v>36</v>
      </c>
      <c r="D128" s="47" t="s">
        <v>100</v>
      </c>
      <c r="E128" s="62" t="s">
        <v>41</v>
      </c>
      <c r="F128" s="59" t="s">
        <v>80</v>
      </c>
      <c r="G128" s="67" t="s">
        <v>80</v>
      </c>
      <c r="H128" s="51" t="s">
        <v>344</v>
      </c>
      <c r="I128" s="51" t="s">
        <v>145</v>
      </c>
      <c r="J128" s="51" t="s">
        <v>102</v>
      </c>
      <c r="K128" s="85"/>
      <c r="L128" s="51" t="s">
        <v>31</v>
      </c>
      <c r="M128" s="60" t="str">
        <f t="shared" si="6"/>
        <v>0..1</v>
      </c>
      <c r="N128" s="80" t="s">
        <v>228</v>
      </c>
      <c r="O128" s="54" t="s">
        <v>160</v>
      </c>
    </row>
    <row r="129" spans="1:15" ht="30" x14ac:dyDescent="0.25">
      <c r="A129" s="90" t="s">
        <v>648</v>
      </c>
      <c r="B129" s="61"/>
      <c r="C129" s="46"/>
      <c r="D129" s="47"/>
      <c r="E129" s="62"/>
      <c r="F129" s="59"/>
      <c r="G129" s="67"/>
      <c r="H129" s="51"/>
      <c r="I129" s="51"/>
      <c r="J129" s="51"/>
      <c r="K129" s="85"/>
      <c r="L129" s="51"/>
      <c r="M129" s="60"/>
      <c r="N129" s="80"/>
      <c r="O129" s="80"/>
    </row>
    <row r="130" spans="1:15" ht="72" x14ac:dyDescent="0.25">
      <c r="A130" s="91" t="s">
        <v>581</v>
      </c>
      <c r="B130" s="74" t="s">
        <v>532</v>
      </c>
      <c r="C130" s="92" t="s">
        <v>24</v>
      </c>
      <c r="D130" s="47" t="s">
        <v>25</v>
      </c>
      <c r="E130" s="62" t="s">
        <v>75</v>
      </c>
      <c r="F130" s="59" t="s">
        <v>80</v>
      </c>
      <c r="G130" s="67" t="s">
        <v>80</v>
      </c>
      <c r="H130" s="51" t="s">
        <v>581</v>
      </c>
      <c r="I130" s="51" t="s">
        <v>29</v>
      </c>
      <c r="J130" s="51" t="s">
        <v>29</v>
      </c>
      <c r="K130" s="85"/>
      <c r="L130" s="70" t="s">
        <v>668</v>
      </c>
      <c r="M130" s="60" t="str">
        <f t="shared" si="6"/>
        <v>1..1</v>
      </c>
      <c r="N130" s="80" t="s">
        <v>43</v>
      </c>
      <c r="O130" s="80" t="s">
        <v>243</v>
      </c>
    </row>
    <row r="131" spans="1:15" ht="140.25" x14ac:dyDescent="0.25">
      <c r="A131" s="91" t="s">
        <v>582</v>
      </c>
      <c r="B131" s="74" t="s">
        <v>533</v>
      </c>
      <c r="C131" s="47" t="s">
        <v>55</v>
      </c>
      <c r="D131" s="47" t="s">
        <v>25</v>
      </c>
      <c r="E131" s="62" t="s">
        <v>41</v>
      </c>
      <c r="F131" s="59" t="s">
        <v>80</v>
      </c>
      <c r="G131" s="67" t="s">
        <v>80</v>
      </c>
      <c r="H131" s="51" t="s">
        <v>582</v>
      </c>
      <c r="I131" s="51" t="s">
        <v>29</v>
      </c>
      <c r="J131" s="51" t="s">
        <v>29</v>
      </c>
      <c r="K131" s="85"/>
      <c r="L131" s="93" t="s">
        <v>666</v>
      </c>
      <c r="M131" s="60" t="s">
        <v>601</v>
      </c>
      <c r="N131" s="80" t="s">
        <v>43</v>
      </c>
      <c r="O131" s="80" t="s">
        <v>243</v>
      </c>
    </row>
    <row r="132" spans="1:15" ht="120" x14ac:dyDescent="0.25">
      <c r="A132" s="91" t="s">
        <v>567</v>
      </c>
      <c r="B132" s="94" t="s">
        <v>612</v>
      </c>
      <c r="C132" s="92" t="s">
        <v>24</v>
      </c>
      <c r="D132" s="47" t="s">
        <v>25</v>
      </c>
      <c r="E132" s="62" t="s">
        <v>41</v>
      </c>
      <c r="F132" s="59" t="s">
        <v>80</v>
      </c>
      <c r="G132" s="67" t="s">
        <v>80</v>
      </c>
      <c r="H132" s="51" t="s">
        <v>567</v>
      </c>
      <c r="I132" s="51" t="s">
        <v>29</v>
      </c>
      <c r="J132" s="51" t="s">
        <v>29</v>
      </c>
      <c r="K132" s="85"/>
      <c r="L132" s="93" t="s">
        <v>657</v>
      </c>
      <c r="M132" s="60" t="str">
        <f t="shared" si="6"/>
        <v>0..1</v>
      </c>
      <c r="N132" s="80" t="s">
        <v>43</v>
      </c>
      <c r="O132" s="80" t="s">
        <v>243</v>
      </c>
    </row>
    <row r="133" spans="1:15" ht="63.75" customHeight="1" x14ac:dyDescent="0.25">
      <c r="A133" s="91" t="s">
        <v>238</v>
      </c>
      <c r="B133" s="74" t="s">
        <v>633</v>
      </c>
      <c r="C133" s="92" t="s">
        <v>24</v>
      </c>
      <c r="D133" s="47" t="s">
        <v>25</v>
      </c>
      <c r="E133" s="62" t="s">
        <v>41</v>
      </c>
      <c r="F133" s="59" t="s">
        <v>80</v>
      </c>
      <c r="G133" s="67" t="s">
        <v>80</v>
      </c>
      <c r="H133" s="51" t="s">
        <v>238</v>
      </c>
      <c r="I133" s="51" t="s">
        <v>29</v>
      </c>
      <c r="J133" s="51" t="s">
        <v>29</v>
      </c>
      <c r="K133" s="85"/>
      <c r="L133" s="93" t="s">
        <v>659</v>
      </c>
      <c r="M133" s="60" t="s">
        <v>198</v>
      </c>
      <c r="N133" s="80" t="s">
        <v>43</v>
      </c>
      <c r="O133" s="80" t="s">
        <v>243</v>
      </c>
    </row>
    <row r="134" spans="1:15" ht="63.75" x14ac:dyDescent="0.25">
      <c r="A134" s="91" t="s">
        <v>583</v>
      </c>
      <c r="B134" s="74" t="s">
        <v>534</v>
      </c>
      <c r="C134" s="92" t="s">
        <v>576</v>
      </c>
      <c r="D134" s="47" t="s">
        <v>25</v>
      </c>
      <c r="E134" s="62" t="s">
        <v>75</v>
      </c>
      <c r="F134" s="59" t="s">
        <v>80</v>
      </c>
      <c r="G134" s="67" t="s">
        <v>80</v>
      </c>
      <c r="H134" s="51" t="s">
        <v>583</v>
      </c>
      <c r="I134" s="51" t="s">
        <v>29</v>
      </c>
      <c r="J134" s="51" t="s">
        <v>29</v>
      </c>
      <c r="K134" s="85"/>
      <c r="L134" s="93" t="s">
        <v>658</v>
      </c>
      <c r="M134" s="60" t="s">
        <v>601</v>
      </c>
      <c r="N134" s="80" t="s">
        <v>43</v>
      </c>
      <c r="O134" s="80" t="s">
        <v>243</v>
      </c>
    </row>
    <row r="135" spans="1:15" ht="33" customHeight="1" x14ac:dyDescent="0.25">
      <c r="A135" s="91" t="s">
        <v>584</v>
      </c>
      <c r="B135" s="74" t="s">
        <v>535</v>
      </c>
      <c r="C135" s="92" t="s">
        <v>24</v>
      </c>
      <c r="D135" s="47" t="s">
        <v>25</v>
      </c>
      <c r="E135" s="62" t="s">
        <v>41</v>
      </c>
      <c r="F135" s="59" t="s">
        <v>80</v>
      </c>
      <c r="G135" s="67" t="s">
        <v>80</v>
      </c>
      <c r="H135" s="51" t="s">
        <v>584</v>
      </c>
      <c r="I135" s="51" t="s">
        <v>29</v>
      </c>
      <c r="J135" s="51" t="s">
        <v>29</v>
      </c>
      <c r="K135" s="85"/>
      <c r="L135" s="93" t="s">
        <v>660</v>
      </c>
      <c r="M135" s="77" t="str">
        <f>IF(E135="x","0","1")&amp;".."&amp;(IF(C135="list","n","1"))</f>
        <v>0..1</v>
      </c>
      <c r="N135" s="80" t="s">
        <v>43</v>
      </c>
      <c r="O135" s="80" t="s">
        <v>243</v>
      </c>
    </row>
    <row r="136" spans="1:15" ht="25.5" x14ac:dyDescent="0.25">
      <c r="A136" s="91" t="s">
        <v>224</v>
      </c>
      <c r="B136" s="74" t="s">
        <v>580</v>
      </c>
      <c r="C136" s="92" t="s">
        <v>36</v>
      </c>
      <c r="D136" s="47" t="s">
        <v>25</v>
      </c>
      <c r="E136" s="62" t="s">
        <v>41</v>
      </c>
      <c r="F136" s="59" t="s">
        <v>80</v>
      </c>
      <c r="G136" s="67" t="s">
        <v>80</v>
      </c>
      <c r="H136" s="51" t="s">
        <v>224</v>
      </c>
      <c r="I136" s="51" t="s">
        <v>29</v>
      </c>
      <c r="J136" s="51" t="s">
        <v>29</v>
      </c>
      <c r="K136" s="85"/>
      <c r="L136" s="93" t="s">
        <v>661</v>
      </c>
      <c r="M136" s="60" t="s">
        <v>286</v>
      </c>
      <c r="N136" s="80" t="s">
        <v>43</v>
      </c>
      <c r="O136" s="80" t="s">
        <v>243</v>
      </c>
    </row>
    <row r="137" spans="1:15" ht="25.5" x14ac:dyDescent="0.25">
      <c r="A137" s="91" t="s">
        <v>636</v>
      </c>
      <c r="B137" s="74" t="s">
        <v>91</v>
      </c>
      <c r="C137" s="92" t="s">
        <v>24</v>
      </c>
      <c r="D137" s="47" t="s">
        <v>25</v>
      </c>
      <c r="E137" s="62" t="s">
        <v>41</v>
      </c>
      <c r="F137" s="59" t="s">
        <v>80</v>
      </c>
      <c r="G137" s="67" t="s">
        <v>80</v>
      </c>
      <c r="H137" s="51" t="s">
        <v>585</v>
      </c>
      <c r="I137" s="51" t="s">
        <v>29</v>
      </c>
      <c r="J137" s="51" t="s">
        <v>29</v>
      </c>
      <c r="K137" s="85"/>
      <c r="L137" s="93" t="s">
        <v>603</v>
      </c>
      <c r="M137" s="60" t="str">
        <f t="shared" si="6"/>
        <v>0..1</v>
      </c>
      <c r="N137" s="80" t="s">
        <v>43</v>
      </c>
      <c r="O137" s="80" t="s">
        <v>243</v>
      </c>
    </row>
    <row r="138" spans="1:15" ht="27" customHeight="1" x14ac:dyDescent="0.25">
      <c r="A138" s="91" t="s">
        <v>637</v>
      </c>
      <c r="B138" s="74" t="s">
        <v>669</v>
      </c>
      <c r="C138" s="92" t="s">
        <v>24</v>
      </c>
      <c r="D138" s="47" t="s">
        <v>25</v>
      </c>
      <c r="E138" s="62" t="s">
        <v>41</v>
      </c>
      <c r="F138" s="59" t="s">
        <v>80</v>
      </c>
      <c r="G138" s="67" t="s">
        <v>80</v>
      </c>
      <c r="H138" s="51" t="s">
        <v>586</v>
      </c>
      <c r="I138" s="51" t="s">
        <v>29</v>
      </c>
      <c r="J138" s="51" t="s">
        <v>29</v>
      </c>
      <c r="K138" s="85"/>
      <c r="L138" s="93" t="s">
        <v>604</v>
      </c>
      <c r="M138" s="60" t="s">
        <v>286</v>
      </c>
      <c r="N138" s="80" t="s">
        <v>43</v>
      </c>
      <c r="O138" s="80" t="s">
        <v>243</v>
      </c>
    </row>
    <row r="139" spans="1:15" ht="28.5" customHeight="1" x14ac:dyDescent="0.25">
      <c r="A139" s="91" t="s">
        <v>638</v>
      </c>
      <c r="B139" s="74" t="s">
        <v>590</v>
      </c>
      <c r="C139" s="92" t="s">
        <v>55</v>
      </c>
      <c r="D139" s="47" t="s">
        <v>25</v>
      </c>
      <c r="E139" s="62" t="s">
        <v>41</v>
      </c>
      <c r="F139" s="59" t="s">
        <v>80</v>
      </c>
      <c r="G139" s="67" t="s">
        <v>80</v>
      </c>
      <c r="H139" s="51" t="s">
        <v>587</v>
      </c>
      <c r="I139" s="51" t="s">
        <v>29</v>
      </c>
      <c r="J139" s="51" t="s">
        <v>29</v>
      </c>
      <c r="K139" s="85"/>
      <c r="L139" s="93" t="s">
        <v>605</v>
      </c>
      <c r="M139" s="60" t="s">
        <v>286</v>
      </c>
      <c r="N139" s="80" t="s">
        <v>43</v>
      </c>
      <c r="O139" s="80" t="s">
        <v>243</v>
      </c>
    </row>
    <row r="140" spans="1:15" ht="30.75" thickBot="1" x14ac:dyDescent="0.3">
      <c r="A140" s="91" t="s">
        <v>569</v>
      </c>
      <c r="B140" s="74" t="s">
        <v>639</v>
      </c>
      <c r="C140" s="92" t="s">
        <v>24</v>
      </c>
      <c r="D140" s="47" t="s">
        <v>25</v>
      </c>
      <c r="E140" s="62" t="s">
        <v>41</v>
      </c>
      <c r="F140" s="95" t="s">
        <v>80</v>
      </c>
      <c r="G140" s="96" t="s">
        <v>80</v>
      </c>
      <c r="H140" s="97" t="s">
        <v>537</v>
      </c>
      <c r="I140" s="97" t="s">
        <v>29</v>
      </c>
      <c r="J140" s="97" t="s">
        <v>29</v>
      </c>
      <c r="K140" s="98"/>
      <c r="L140" s="93" t="s">
        <v>592</v>
      </c>
      <c r="M140" s="99" t="str">
        <f t="shared" si="6"/>
        <v>0..1</v>
      </c>
      <c r="N140" s="80" t="s">
        <v>43</v>
      </c>
      <c r="O140" s="80" t="s">
        <v>243</v>
      </c>
    </row>
    <row r="141" spans="1:15" customFormat="1" x14ac:dyDescent="0.25">
      <c r="A141" s="100"/>
      <c r="B141" s="101"/>
      <c r="C141" s="102"/>
      <c r="D141" s="102"/>
      <c r="E141" s="103"/>
      <c r="F141" s="104"/>
      <c r="G141" s="104"/>
      <c r="H141" s="105"/>
      <c r="I141" s="105"/>
      <c r="J141" s="105"/>
      <c r="K141" s="105"/>
      <c r="L141" s="105"/>
      <c r="M141" s="106"/>
      <c r="N141" s="105"/>
      <c r="O141" s="105"/>
    </row>
    <row r="142" spans="1:15" customFormat="1" x14ac:dyDescent="0.25">
      <c r="A142" s="100" t="s">
        <v>643</v>
      </c>
      <c r="B142" s="101"/>
      <c r="C142" s="102"/>
      <c r="D142" s="102"/>
      <c r="E142" s="103"/>
      <c r="F142" s="104"/>
      <c r="G142" s="104"/>
      <c r="H142" s="105"/>
      <c r="I142" s="105"/>
      <c r="J142" s="105"/>
      <c r="K142" s="105"/>
      <c r="L142" s="105"/>
      <c r="M142" s="106"/>
      <c r="N142" s="105"/>
      <c r="O142" s="105"/>
    </row>
    <row r="143" spans="1:15" customFormat="1" ht="32.25" customHeight="1" x14ac:dyDescent="0.25">
      <c r="A143" s="128" t="s">
        <v>650</v>
      </c>
      <c r="B143" s="129"/>
      <c r="C143" s="129"/>
      <c r="D143" s="129"/>
      <c r="E143" s="129"/>
      <c r="F143" s="104"/>
      <c r="G143" s="104"/>
      <c r="H143" s="105"/>
      <c r="I143" s="105"/>
      <c r="J143" s="105"/>
      <c r="K143" s="105"/>
      <c r="L143" s="105"/>
      <c r="M143" s="106"/>
      <c r="N143" s="105"/>
      <c r="O143" s="105"/>
    </row>
    <row r="144" spans="1:15" customFormat="1" x14ac:dyDescent="0.25">
      <c r="A144" s="128" t="s">
        <v>618</v>
      </c>
      <c r="B144" s="130"/>
      <c r="C144" s="130"/>
      <c r="D144" s="130"/>
      <c r="E144" s="130"/>
      <c r="F144" s="104"/>
      <c r="G144" s="104"/>
      <c r="H144" s="105"/>
      <c r="I144" s="105"/>
      <c r="J144" s="105"/>
      <c r="K144" s="105"/>
      <c r="L144" s="105"/>
      <c r="M144" s="106"/>
      <c r="N144" s="105"/>
      <c r="O144" s="105"/>
    </row>
    <row r="145" spans="1:15" customFormat="1" x14ac:dyDescent="0.25">
      <c r="A145" s="131" t="s">
        <v>654</v>
      </c>
      <c r="B145" s="132"/>
      <c r="C145" s="132"/>
      <c r="D145" s="132"/>
      <c r="E145" s="132"/>
      <c r="F145" s="104"/>
      <c r="G145" s="104"/>
      <c r="H145" s="105"/>
      <c r="I145" s="105"/>
      <c r="J145" s="105"/>
      <c r="K145" s="105"/>
      <c r="L145" s="105"/>
      <c r="M145" s="106"/>
      <c r="N145" s="105"/>
      <c r="O145" s="105"/>
    </row>
    <row r="146" spans="1:15" customFormat="1" x14ac:dyDescent="0.25">
      <c r="A146" s="131" t="s">
        <v>645</v>
      </c>
      <c r="B146" s="132"/>
      <c r="C146" s="132"/>
      <c r="D146" s="132"/>
      <c r="E146" s="132"/>
      <c r="F146" s="104"/>
      <c r="G146" s="104"/>
      <c r="H146" s="105"/>
      <c r="I146" s="105"/>
      <c r="J146" s="105"/>
      <c r="K146" s="105"/>
      <c r="L146" s="105"/>
      <c r="M146" s="106"/>
      <c r="N146" s="105"/>
      <c r="O146" s="105"/>
    </row>
    <row r="147" spans="1:15" customFormat="1" x14ac:dyDescent="0.25">
      <c r="A147" s="131" t="s">
        <v>653</v>
      </c>
      <c r="B147" s="132"/>
      <c r="C147" s="132"/>
      <c r="D147" s="132"/>
      <c r="E147" s="132"/>
      <c r="F147" s="104"/>
      <c r="G147" s="104"/>
      <c r="H147" s="105"/>
      <c r="I147" s="105"/>
      <c r="J147" s="105"/>
      <c r="K147" s="105"/>
      <c r="L147" s="105"/>
      <c r="M147" s="106"/>
      <c r="N147" s="105"/>
      <c r="O147" s="105"/>
    </row>
    <row r="148" spans="1:15" customFormat="1" x14ac:dyDescent="0.25">
      <c r="A148" s="131" t="s">
        <v>646</v>
      </c>
      <c r="B148" s="132"/>
      <c r="C148" s="132"/>
      <c r="D148" s="132"/>
      <c r="E148" s="132"/>
      <c r="F148" s="104"/>
      <c r="G148" s="104"/>
      <c r="H148" s="105"/>
      <c r="I148" s="105"/>
      <c r="J148" s="105"/>
      <c r="K148" s="105"/>
      <c r="L148" s="105"/>
      <c r="M148" s="106"/>
      <c r="N148" s="105"/>
      <c r="O148" s="105"/>
    </row>
    <row r="149" spans="1:15" customFormat="1" x14ac:dyDescent="0.25">
      <c r="A149" s="131" t="s">
        <v>647</v>
      </c>
      <c r="B149" s="132"/>
      <c r="C149" s="132"/>
      <c r="D149" s="132"/>
      <c r="E149" s="132"/>
      <c r="F149" s="104"/>
      <c r="G149" s="104"/>
      <c r="H149" s="105"/>
      <c r="I149" s="105"/>
      <c r="J149" s="105"/>
      <c r="K149" s="105"/>
      <c r="L149" s="105"/>
      <c r="M149" s="106"/>
      <c r="N149" s="105"/>
      <c r="O149" s="105"/>
    </row>
    <row r="150" spans="1:15" customFormat="1" x14ac:dyDescent="0.25">
      <c r="A150" s="128" t="s">
        <v>651</v>
      </c>
      <c r="B150" s="130"/>
      <c r="C150" s="130"/>
      <c r="D150" s="130"/>
      <c r="E150" s="130"/>
      <c r="F150" s="104"/>
      <c r="G150" s="104"/>
      <c r="H150" s="105"/>
      <c r="I150" s="105"/>
      <c r="J150" s="105"/>
      <c r="K150" s="105"/>
      <c r="L150" s="105"/>
      <c r="M150" s="106"/>
      <c r="N150" s="105"/>
      <c r="O150" s="105"/>
    </row>
    <row r="151" spans="1:15" customFormat="1" ht="30" customHeight="1" x14ac:dyDescent="0.25">
      <c r="A151" s="133" t="s">
        <v>644</v>
      </c>
      <c r="B151" s="133"/>
      <c r="C151" s="107"/>
      <c r="D151" s="107"/>
      <c r="E151" s="107"/>
      <c r="F151" s="104"/>
      <c r="G151" s="104"/>
      <c r="H151" s="105"/>
      <c r="I151" s="105"/>
      <c r="J151" s="105"/>
      <c r="K151" s="105"/>
      <c r="L151" s="105"/>
      <c r="M151" s="106"/>
      <c r="N151" s="105"/>
      <c r="O151" s="105"/>
    </row>
    <row r="152" spans="1:15" customFormat="1" x14ac:dyDescent="0.25">
      <c r="A152" s="135"/>
      <c r="B152" s="136"/>
      <c r="C152" s="136"/>
      <c r="D152" s="136"/>
      <c r="E152" s="136"/>
      <c r="F152" s="104"/>
      <c r="G152" s="104"/>
      <c r="H152" s="105"/>
      <c r="I152" s="105"/>
      <c r="J152" s="105"/>
      <c r="K152" s="105"/>
      <c r="L152" s="105"/>
      <c r="M152" s="106"/>
      <c r="N152" s="105"/>
      <c r="O152" s="105"/>
    </row>
    <row r="153" spans="1:15" customFormat="1" x14ac:dyDescent="0.25">
      <c r="A153" s="133" t="s">
        <v>75</v>
      </c>
      <c r="B153" s="134"/>
      <c r="C153" s="134"/>
      <c r="D153" s="134"/>
      <c r="E153" s="134"/>
      <c r="F153" s="104"/>
      <c r="G153" s="104"/>
      <c r="H153" s="105"/>
      <c r="I153" s="105"/>
      <c r="J153" s="105"/>
      <c r="K153" s="105"/>
      <c r="L153" s="105"/>
      <c r="M153" s="106"/>
      <c r="N153" s="105"/>
      <c r="O153" s="105"/>
    </row>
    <row r="154" spans="1:15" ht="14.45" customHeight="1" x14ac:dyDescent="0.25">
      <c r="A154" s="117" t="s">
        <v>345</v>
      </c>
      <c r="B154" s="118"/>
      <c r="C154" s="118"/>
      <c r="D154" s="118"/>
      <c r="E154" s="119"/>
      <c r="F154" s="108"/>
      <c r="G154" s="108"/>
      <c r="H154" s="108"/>
      <c r="I154" s="108"/>
      <c r="J154" s="108"/>
      <c r="K154" s="108"/>
      <c r="L154" s="108"/>
      <c r="M154" s="108"/>
      <c r="N154" s="109"/>
      <c r="O154" s="108"/>
    </row>
    <row r="155" spans="1:15" x14ac:dyDescent="0.25">
      <c r="A155" s="120"/>
      <c r="B155" s="121"/>
      <c r="C155" s="121"/>
      <c r="D155" s="121"/>
      <c r="E155" s="122"/>
      <c r="F155" s="108"/>
      <c r="G155" s="108"/>
      <c r="H155" s="108"/>
      <c r="I155" s="108"/>
      <c r="J155" s="108"/>
      <c r="K155" s="108"/>
      <c r="L155" s="108"/>
      <c r="M155" s="108"/>
      <c r="N155" s="109"/>
      <c r="O155" s="108"/>
    </row>
    <row r="156" spans="1:15" x14ac:dyDescent="0.25">
      <c r="A156" s="120"/>
      <c r="B156" s="121"/>
      <c r="C156" s="121"/>
      <c r="D156" s="121"/>
      <c r="E156" s="122"/>
      <c r="F156" s="108"/>
    </row>
    <row r="157" spans="1:15" x14ac:dyDescent="0.25">
      <c r="A157" s="120"/>
      <c r="B157" s="121"/>
      <c r="C157" s="121"/>
      <c r="D157" s="121"/>
      <c r="E157" s="122"/>
      <c r="F157" s="108"/>
    </row>
    <row r="158" spans="1:15" x14ac:dyDescent="0.25">
      <c r="A158" s="120"/>
      <c r="B158" s="121"/>
      <c r="C158" s="121"/>
      <c r="D158" s="121"/>
      <c r="E158" s="122"/>
      <c r="F158" s="108"/>
    </row>
    <row r="159" spans="1:15" x14ac:dyDescent="0.25">
      <c r="A159" s="120"/>
      <c r="B159" s="121"/>
      <c r="C159" s="121"/>
      <c r="D159" s="121"/>
      <c r="E159" s="122"/>
      <c r="F159" s="108"/>
    </row>
    <row r="160" spans="1:15" x14ac:dyDescent="0.25">
      <c r="A160" s="120"/>
      <c r="B160" s="121"/>
      <c r="C160" s="121"/>
      <c r="D160" s="121"/>
      <c r="E160" s="122"/>
      <c r="F160" s="108"/>
    </row>
    <row r="161" spans="1:6" x14ac:dyDescent="0.25">
      <c r="A161" s="123"/>
      <c r="B161" s="124"/>
      <c r="C161" s="124"/>
      <c r="D161" s="124"/>
      <c r="E161" s="125"/>
      <c r="F161" s="108"/>
    </row>
  </sheetData>
  <sheetProtection algorithmName="SHA-512" hashValue="nkHb8A7d2zmPCC7ferYSiulgXAjLPkJeCDvwiSZ30Jy0DO3R6Kjs1NbhLgGUW+0dMB6GUBHjwRyTmBPrmyKN1w==" saltValue="u9GLC1JZ7qQmbl2Mz7kNqQ==" spinCount="100000" sheet="1" sort="0" autoFilter="0" pivotTables="0"/>
  <mergeCells count="15">
    <mergeCell ref="N11:O12"/>
    <mergeCell ref="A154:E161"/>
    <mergeCell ref="B3:E6"/>
    <mergeCell ref="A12:E12"/>
    <mergeCell ref="A143:E143"/>
    <mergeCell ref="A144:E144"/>
    <mergeCell ref="A145:E145"/>
    <mergeCell ref="A146:E146"/>
    <mergeCell ref="A147:E147"/>
    <mergeCell ref="A148:E148"/>
    <mergeCell ref="A149:E149"/>
    <mergeCell ref="A153:E153"/>
    <mergeCell ref="A150:E150"/>
    <mergeCell ref="A152:E152"/>
    <mergeCell ref="A151:B151"/>
  </mergeCells>
  <dataValidations disablePrompts="1" count="2">
    <dataValidation type="date" allowBlank="1" showInputMessage="1" showErrorMessage="1" sqref="B51" xr:uid="{4D35BA99-9395-448C-B52C-1EA7DB84031B}">
      <formula1>36526</formula1>
      <formula2>51136</formula2>
    </dataValidation>
    <dataValidation type="date" allowBlank="1" showInputMessage="1" showErrorMessage="1" sqref="B49:B50" xr:uid="{DB538783-804A-41D8-8F34-68CDCB2D08B1}">
      <formula1>36526</formula1>
      <formula2>TODAY()</formula2>
    </dataValidation>
  </dataValidations>
  <hyperlinks>
    <hyperlink ref="B2" r:id="rId1" xr:uid="{4B748C98-6C72-48EB-B847-277508B16387}"/>
    <hyperlink ref="B7" location="'BDT Reference Sheet'!A116" display="Please read our legal disclaimer" xr:uid="{3C12B5DD-1B96-4253-9858-BB4211E8916D}"/>
    <hyperlink ref="B113" r:id="rId2" xr:uid="{6861DB2C-58BB-4CBD-A729-1731BE2CC154}"/>
  </hyperlinks>
  <pageMargins left="0.7" right="0.7" top="0.78740157499999996" bottom="0.78740157499999996" header="0.3" footer="0.3"/>
  <pageSetup paperSize="9" scale="46" orientation="portrait" r:id="rId3"/>
  <headerFooter>
    <oddHeader>&amp;R&amp;"Calibri"&amp;10&amp;K000000Internal Use&amp;1#</oddHead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7AB3-8519-4A92-91BE-A39CBF6551A3}">
  <sheetPr>
    <tabColor theme="3" tint="0.79998168889431442"/>
  </sheetPr>
  <dimension ref="A1:AH45"/>
  <sheetViews>
    <sheetView workbookViewId="0">
      <selection sqref="A1:XFD1048576"/>
    </sheetView>
  </sheetViews>
  <sheetFormatPr defaultColWidth="12.5703125" defaultRowHeight="15" x14ac:dyDescent="0.25"/>
  <cols>
    <col min="1" max="1" width="19.85546875" style="1" bestFit="1" customWidth="1"/>
    <col min="2" max="2" width="22.28515625" style="1" customWidth="1"/>
    <col min="3" max="3" width="38.28515625" style="1" customWidth="1"/>
    <col min="4" max="6" width="29" style="1" customWidth="1"/>
    <col min="7" max="7" width="15.42578125" style="1" customWidth="1"/>
    <col min="8" max="8" width="27.28515625" style="1" customWidth="1"/>
    <col min="9" max="9" width="26.5703125" style="1" bestFit="1" customWidth="1"/>
    <col min="10" max="10" width="31.42578125" style="1" customWidth="1"/>
    <col min="11" max="11" width="19.28515625" style="1" bestFit="1" customWidth="1"/>
    <col min="12" max="12" width="21" style="1" bestFit="1" customWidth="1"/>
    <col min="13" max="13" width="24.7109375" style="1" customWidth="1"/>
    <col min="14" max="14" width="26.5703125" style="1" customWidth="1"/>
    <col min="15" max="15" width="27.28515625" style="1" customWidth="1"/>
    <col min="16" max="16" width="16.42578125" style="1" bestFit="1" customWidth="1"/>
    <col min="17" max="17" width="37.42578125" style="1" customWidth="1"/>
    <col min="18" max="18" width="17.42578125" style="1" customWidth="1"/>
    <col min="19" max="19" width="19" style="1" customWidth="1"/>
    <col min="20" max="20" width="34.85546875" style="1" customWidth="1"/>
    <col min="21" max="21" width="19" style="1" customWidth="1"/>
    <col min="22" max="23" width="28.42578125" style="1" customWidth="1"/>
    <col min="24" max="24" width="21.140625" style="1" customWidth="1"/>
    <col min="25" max="25" width="28.42578125" style="1" customWidth="1"/>
    <col min="26" max="26" width="36" style="1" bestFit="1" customWidth="1"/>
    <col min="27" max="27" width="79.28515625" style="1" bestFit="1" customWidth="1"/>
    <col min="28" max="28" width="14.7109375" style="1" customWidth="1"/>
    <col min="29" max="29" width="18.5703125" style="1" customWidth="1"/>
    <col min="30" max="30" width="32.5703125" style="1" customWidth="1"/>
    <col min="31" max="31" width="33.28515625" style="1" customWidth="1"/>
    <col min="32" max="32" width="29.140625" style="1" customWidth="1"/>
    <col min="33" max="33" width="25.5703125" style="1" customWidth="1"/>
    <col min="34" max="34" width="30.5703125" style="1" customWidth="1"/>
    <col min="35" max="16384" width="12.5703125" style="1"/>
  </cols>
  <sheetData>
    <row r="1" spans="1:34" x14ac:dyDescent="0.25">
      <c r="A1" s="6" t="s">
        <v>607</v>
      </c>
      <c r="B1" s="7"/>
      <c r="C1" s="1" t="s">
        <v>652</v>
      </c>
    </row>
    <row r="3" spans="1:34" s="2" customFormat="1" x14ac:dyDescent="0.25">
      <c r="A3" s="5" t="s">
        <v>346</v>
      </c>
      <c r="B3" s="5" t="s">
        <v>347</v>
      </c>
      <c r="C3" s="5" t="s">
        <v>72</v>
      </c>
      <c r="D3" s="5" t="s">
        <v>78</v>
      </c>
      <c r="E3" s="5" t="s">
        <v>82</v>
      </c>
      <c r="F3" s="5" t="s">
        <v>87</v>
      </c>
      <c r="G3" s="5" t="s">
        <v>0</v>
      </c>
      <c r="H3" s="5" t="s">
        <v>146</v>
      </c>
      <c r="I3" s="5" t="s">
        <v>153</v>
      </c>
      <c r="J3" s="5" t="s">
        <v>161</v>
      </c>
      <c r="K3" s="5" t="s">
        <v>168</v>
      </c>
      <c r="L3" s="5" t="s">
        <v>171</v>
      </c>
      <c r="M3" s="5" t="s">
        <v>173</v>
      </c>
      <c r="N3" s="5" t="s">
        <v>175</v>
      </c>
      <c r="O3" s="5" t="s">
        <v>180</v>
      </c>
      <c r="P3" s="5" t="s">
        <v>184</v>
      </c>
      <c r="Q3" s="5" t="s">
        <v>187</v>
      </c>
      <c r="R3" s="5" t="s">
        <v>348</v>
      </c>
      <c r="S3" s="5" t="s">
        <v>241</v>
      </c>
      <c r="T3" s="5" t="s">
        <v>261</v>
      </c>
      <c r="U3" s="5" t="s">
        <v>266</v>
      </c>
      <c r="V3" s="5" t="s">
        <v>270</v>
      </c>
      <c r="W3" s="5" t="s">
        <v>273</v>
      </c>
      <c r="X3" s="5" t="s">
        <v>277</v>
      </c>
      <c r="Y3" s="5" t="s">
        <v>306</v>
      </c>
      <c r="Z3" s="5" t="s">
        <v>311</v>
      </c>
      <c r="AA3" s="5" t="s">
        <v>319</v>
      </c>
      <c r="AB3" s="5" t="s">
        <v>322</v>
      </c>
      <c r="AC3" s="5" t="s">
        <v>328</v>
      </c>
      <c r="AD3" s="5" t="s">
        <v>330</v>
      </c>
      <c r="AE3" s="5" t="s">
        <v>332</v>
      </c>
      <c r="AF3" s="8" t="s">
        <v>285</v>
      </c>
      <c r="AG3" s="5" t="s">
        <v>591</v>
      </c>
      <c r="AH3" s="5" t="s">
        <v>556</v>
      </c>
    </row>
    <row r="4" spans="1:34" ht="14.25" customHeight="1" x14ac:dyDescent="0.25">
      <c r="A4" s="1" t="s">
        <v>54</v>
      </c>
      <c r="B4" s="1" t="s">
        <v>349</v>
      </c>
      <c r="C4" s="1" t="s">
        <v>350</v>
      </c>
      <c r="D4" s="1" t="s">
        <v>351</v>
      </c>
      <c r="E4" s="1" t="s">
        <v>83</v>
      </c>
      <c r="F4" s="1" t="s">
        <v>88</v>
      </c>
      <c r="G4" s="1" t="s">
        <v>118</v>
      </c>
      <c r="H4" s="1" t="s">
        <v>147</v>
      </c>
      <c r="I4" s="1" t="s">
        <v>575</v>
      </c>
      <c r="J4" s="1" t="s">
        <v>352</v>
      </c>
      <c r="K4" s="1" t="s">
        <v>353</v>
      </c>
      <c r="L4" s="1" t="s">
        <v>354</v>
      </c>
      <c r="M4" s="1" t="s">
        <v>355</v>
      </c>
      <c r="N4" s="1" t="s">
        <v>356</v>
      </c>
      <c r="O4" s="1" t="s">
        <v>181</v>
      </c>
      <c r="P4" s="1" t="s">
        <v>185</v>
      </c>
      <c r="Q4" s="1" t="s">
        <v>188</v>
      </c>
      <c r="R4" s="1" t="s">
        <v>357</v>
      </c>
      <c r="S4" s="1" t="s">
        <v>358</v>
      </c>
      <c r="T4" s="1" t="s">
        <v>359</v>
      </c>
      <c r="U4" s="1" t="s">
        <v>267</v>
      </c>
      <c r="V4" s="1" t="s">
        <v>649</v>
      </c>
      <c r="W4" s="1" t="s">
        <v>274</v>
      </c>
      <c r="X4" s="1" t="s">
        <v>360</v>
      </c>
      <c r="Y4" s="1" t="s">
        <v>323</v>
      </c>
      <c r="Z4" s="1" t="s">
        <v>361</v>
      </c>
      <c r="AA4" s="3" t="s">
        <v>362</v>
      </c>
      <c r="AB4" s="1" t="s">
        <v>363</v>
      </c>
      <c r="AC4" s="1" t="s">
        <v>363</v>
      </c>
      <c r="AD4" s="1" t="s">
        <v>363</v>
      </c>
      <c r="AE4" s="1" t="s">
        <v>364</v>
      </c>
      <c r="AF4" s="9" t="s">
        <v>593</v>
      </c>
      <c r="AG4" s="4" t="s">
        <v>533</v>
      </c>
      <c r="AH4" s="4" t="s">
        <v>555</v>
      </c>
    </row>
    <row r="5" spans="1:34" x14ac:dyDescent="0.25">
      <c r="A5" s="1" t="s">
        <v>365</v>
      </c>
      <c r="B5" s="1" t="s">
        <v>63</v>
      </c>
      <c r="C5" s="1" t="s">
        <v>73</v>
      </c>
      <c r="D5" s="1" t="s">
        <v>79</v>
      </c>
      <c r="E5" s="1" t="s">
        <v>366</v>
      </c>
      <c r="F5" s="1" t="s">
        <v>367</v>
      </c>
      <c r="G5" s="1" t="s">
        <v>368</v>
      </c>
      <c r="H5" s="1" t="s">
        <v>369</v>
      </c>
      <c r="I5" s="1" t="s">
        <v>370</v>
      </c>
      <c r="J5" s="1" t="s">
        <v>371</v>
      </c>
      <c r="K5" s="1" t="s">
        <v>372</v>
      </c>
      <c r="L5" s="1" t="s">
        <v>373</v>
      </c>
      <c r="M5" s="1" t="s">
        <v>374</v>
      </c>
      <c r="N5" s="1" t="s">
        <v>375</v>
      </c>
      <c r="O5" s="1" t="s">
        <v>376</v>
      </c>
      <c r="P5" s="1" t="s">
        <v>377</v>
      </c>
      <c r="Q5" s="1" t="s">
        <v>378</v>
      </c>
      <c r="R5" s="1" t="s">
        <v>197</v>
      </c>
      <c r="S5" s="1" t="s">
        <v>379</v>
      </c>
      <c r="T5" s="1" t="s">
        <v>380</v>
      </c>
      <c r="U5" s="1" t="s">
        <v>381</v>
      </c>
      <c r="V5" s="1" t="s">
        <v>614</v>
      </c>
      <c r="W5" s="1" t="s">
        <v>382</v>
      </c>
      <c r="X5" s="1" t="s">
        <v>383</v>
      </c>
      <c r="Y5" s="1" t="s">
        <v>384</v>
      </c>
      <c r="Z5" s="1" t="s">
        <v>312</v>
      </c>
      <c r="AA5" s="1" t="s">
        <v>320</v>
      </c>
      <c r="AB5" s="1" t="s">
        <v>323</v>
      </c>
      <c r="AC5" s="1" t="s">
        <v>323</v>
      </c>
      <c r="AD5" s="1" t="s">
        <v>323</v>
      </c>
      <c r="AE5" s="1" t="s">
        <v>385</v>
      </c>
      <c r="AF5" s="1" t="s">
        <v>594</v>
      </c>
      <c r="AG5" s="4" t="s">
        <v>536</v>
      </c>
      <c r="AH5" s="4" t="s">
        <v>554</v>
      </c>
    </row>
    <row r="6" spans="1:34" x14ac:dyDescent="0.25">
      <c r="A6" s="1" t="s">
        <v>386</v>
      </c>
      <c r="B6" s="1" t="s">
        <v>387</v>
      </c>
      <c r="C6" s="1" t="s">
        <v>388</v>
      </c>
      <c r="E6" s="1" t="s">
        <v>389</v>
      </c>
      <c r="F6" s="1" t="s">
        <v>390</v>
      </c>
      <c r="H6" s="1" t="s">
        <v>391</v>
      </c>
      <c r="I6" s="1" t="s">
        <v>392</v>
      </c>
      <c r="J6" s="1" t="s">
        <v>393</v>
      </c>
      <c r="K6" s="1" t="s">
        <v>394</v>
      </c>
      <c r="N6" s="1" t="s">
        <v>395</v>
      </c>
      <c r="O6" s="1" t="s">
        <v>396</v>
      </c>
      <c r="P6" s="1" t="s">
        <v>397</v>
      </c>
      <c r="Q6" s="1" t="s">
        <v>398</v>
      </c>
      <c r="T6" s="1" t="s">
        <v>399</v>
      </c>
      <c r="U6" s="1" t="s">
        <v>400</v>
      </c>
      <c r="V6" s="1" t="s">
        <v>271</v>
      </c>
      <c r="W6" s="1" t="s">
        <v>401</v>
      </c>
      <c r="X6" s="1" t="s">
        <v>402</v>
      </c>
      <c r="Y6" s="1" t="s">
        <v>307</v>
      </c>
      <c r="Z6" s="1" t="s">
        <v>323</v>
      </c>
      <c r="AA6" s="1" t="s">
        <v>403</v>
      </c>
      <c r="AE6" s="1" t="s">
        <v>404</v>
      </c>
      <c r="AF6" s="1" t="s">
        <v>284</v>
      </c>
      <c r="AG6" s="4" t="s">
        <v>577</v>
      </c>
      <c r="AH6" s="4" t="s">
        <v>667</v>
      </c>
    </row>
    <row r="7" spans="1:34" x14ac:dyDescent="0.25">
      <c r="A7" s="1" t="s">
        <v>405</v>
      </c>
      <c r="B7" s="1" t="s">
        <v>406</v>
      </c>
      <c r="C7" s="1" t="s">
        <v>407</v>
      </c>
      <c r="E7" s="1" t="s">
        <v>408</v>
      </c>
      <c r="F7" s="1" t="s">
        <v>409</v>
      </c>
      <c r="H7" s="4" t="s">
        <v>613</v>
      </c>
      <c r="I7" s="1" t="s">
        <v>410</v>
      </c>
      <c r="J7" s="1" t="s">
        <v>411</v>
      </c>
      <c r="K7" s="1" t="s">
        <v>412</v>
      </c>
      <c r="N7" s="1" t="s">
        <v>413</v>
      </c>
      <c r="O7" s="1" t="s">
        <v>414</v>
      </c>
      <c r="P7" t="s">
        <v>415</v>
      </c>
      <c r="T7" s="1" t="s">
        <v>416</v>
      </c>
      <c r="U7" s="1" t="s">
        <v>417</v>
      </c>
      <c r="V7" s="1" t="s">
        <v>418</v>
      </c>
      <c r="W7" s="1" t="s">
        <v>419</v>
      </c>
      <c r="X7" s="1" t="s">
        <v>278</v>
      </c>
      <c r="Y7" s="1" t="s">
        <v>420</v>
      </c>
      <c r="AA7" s="1" t="s">
        <v>421</v>
      </c>
      <c r="AF7" s="1" t="s">
        <v>595</v>
      </c>
      <c r="AG7" s="4" t="s">
        <v>578</v>
      </c>
      <c r="AH7" s="4" t="s">
        <v>557</v>
      </c>
    </row>
    <row r="8" spans="1:34" x14ac:dyDescent="0.25">
      <c r="A8" s="1" t="s">
        <v>368</v>
      </c>
      <c r="B8" s="1" t="s">
        <v>422</v>
      </c>
      <c r="C8" s="1" t="s">
        <v>423</v>
      </c>
      <c r="E8" s="1" t="s">
        <v>424</v>
      </c>
      <c r="F8" s="1" t="s">
        <v>425</v>
      </c>
      <c r="H8" s="1" t="s">
        <v>368</v>
      </c>
      <c r="J8" s="1" t="s">
        <v>426</v>
      </c>
      <c r="O8" s="1" t="s">
        <v>427</v>
      </c>
      <c r="P8" s="1" t="s">
        <v>368</v>
      </c>
      <c r="T8" s="1" t="s">
        <v>428</v>
      </c>
      <c r="V8" s="4" t="s">
        <v>540</v>
      </c>
      <c r="X8" s="1" t="s">
        <v>429</v>
      </c>
      <c r="Y8" s="1" t="s">
        <v>430</v>
      </c>
      <c r="AA8" s="1" t="s">
        <v>323</v>
      </c>
      <c r="AF8" s="1" t="s">
        <v>288</v>
      </c>
      <c r="AG8" s="4" t="s">
        <v>579</v>
      </c>
      <c r="AH8" s="4" t="s">
        <v>558</v>
      </c>
    </row>
    <row r="9" spans="1:34" x14ac:dyDescent="0.25">
      <c r="B9" s="1" t="s">
        <v>431</v>
      </c>
      <c r="C9" s="1" t="s">
        <v>432</v>
      </c>
      <c r="E9" s="1" t="s">
        <v>368</v>
      </c>
      <c r="F9" s="1" t="s">
        <v>433</v>
      </c>
      <c r="J9" s="1" t="s">
        <v>434</v>
      </c>
      <c r="O9" s="1" t="s">
        <v>435</v>
      </c>
      <c r="T9" s="1" t="s">
        <v>436</v>
      </c>
      <c r="V9" s="1" t="s">
        <v>368</v>
      </c>
      <c r="X9" s="1" t="s">
        <v>437</v>
      </c>
      <c r="Y9" s="1" t="s">
        <v>438</v>
      </c>
      <c r="AF9" s="1" t="s">
        <v>290</v>
      </c>
      <c r="AG9" s="4" t="s">
        <v>608</v>
      </c>
      <c r="AH9" s="1" t="s">
        <v>368</v>
      </c>
    </row>
    <row r="10" spans="1:34" x14ac:dyDescent="0.25">
      <c r="B10" s="1" t="s">
        <v>323</v>
      </c>
      <c r="C10" s="1" t="s">
        <v>439</v>
      </c>
      <c r="E10" s="1" t="s">
        <v>75</v>
      </c>
      <c r="F10" t="s">
        <v>440</v>
      </c>
      <c r="J10" s="1" t="s">
        <v>441</v>
      </c>
      <c r="T10" s="1" t="s">
        <v>262</v>
      </c>
      <c r="X10" s="1" t="s">
        <v>442</v>
      </c>
      <c r="Y10" s="1" t="s">
        <v>443</v>
      </c>
      <c r="AF10" s="1" t="s">
        <v>291</v>
      </c>
    </row>
    <row r="11" spans="1:34" x14ac:dyDescent="0.25">
      <c r="B11" s="1" t="s">
        <v>368</v>
      </c>
      <c r="C11" s="1" t="s">
        <v>444</v>
      </c>
      <c r="F11" s="4" t="s">
        <v>573</v>
      </c>
      <c r="J11" s="1" t="s">
        <v>445</v>
      </c>
      <c r="T11" s="1" t="s">
        <v>446</v>
      </c>
      <c r="X11" s="1" t="s">
        <v>447</v>
      </c>
      <c r="Y11" s="1" t="s">
        <v>448</v>
      </c>
      <c r="AF11" s="1" t="s">
        <v>287</v>
      </c>
    </row>
    <row r="12" spans="1:34" x14ac:dyDescent="0.25">
      <c r="C12" s="1" t="s">
        <v>449</v>
      </c>
      <c r="F12" s="4" t="s">
        <v>570</v>
      </c>
      <c r="J12" s="1" t="s">
        <v>450</v>
      </c>
      <c r="T12" s="1" t="s">
        <v>451</v>
      </c>
      <c r="X12" s="1" t="s">
        <v>452</v>
      </c>
      <c r="Y12" s="1" t="s">
        <v>453</v>
      </c>
      <c r="AF12" s="1" t="s">
        <v>292</v>
      </c>
    </row>
    <row r="13" spans="1:34" x14ac:dyDescent="0.25">
      <c r="C13" s="1" t="s">
        <v>454</v>
      </c>
      <c r="F13" s="4" t="s">
        <v>571</v>
      </c>
      <c r="J13" s="1" t="s">
        <v>455</v>
      </c>
      <c r="T13" s="1" t="s">
        <v>456</v>
      </c>
      <c r="X13" s="1" t="s">
        <v>457</v>
      </c>
      <c r="Y13" s="1" t="s">
        <v>368</v>
      </c>
      <c r="AF13" s="4" t="s">
        <v>596</v>
      </c>
    </row>
    <row r="14" spans="1:34" x14ac:dyDescent="0.25">
      <c r="C14" s="1" t="s">
        <v>458</v>
      </c>
      <c r="F14" s="4" t="s">
        <v>572</v>
      </c>
      <c r="J14" s="1" t="s">
        <v>459</v>
      </c>
      <c r="T14" s="1" t="s">
        <v>460</v>
      </c>
      <c r="X14" s="1" t="s">
        <v>461</v>
      </c>
      <c r="AF14" s="4" t="s">
        <v>597</v>
      </c>
    </row>
    <row r="15" spans="1:34" x14ac:dyDescent="0.25">
      <c r="C15" s="1" t="s">
        <v>468</v>
      </c>
      <c r="J15" s="1" t="s">
        <v>462</v>
      </c>
      <c r="T15" s="1" t="s">
        <v>463</v>
      </c>
      <c r="X15" s="1" t="s">
        <v>464</v>
      </c>
      <c r="AF15" s="4" t="s">
        <v>598</v>
      </c>
    </row>
    <row r="16" spans="1:34" x14ac:dyDescent="0.25">
      <c r="C16" s="1" t="s">
        <v>472</v>
      </c>
      <c r="J16" s="1" t="s">
        <v>465</v>
      </c>
      <c r="T16" s="1" t="s">
        <v>466</v>
      </c>
      <c r="X16" s="1" t="s">
        <v>467</v>
      </c>
      <c r="AF16" s="4" t="s">
        <v>599</v>
      </c>
    </row>
    <row r="17" spans="3:32" x14ac:dyDescent="0.25">
      <c r="C17" s="1" t="s">
        <v>476</v>
      </c>
      <c r="J17" s="1" t="s">
        <v>469</v>
      </c>
      <c r="T17" s="1" t="s">
        <v>470</v>
      </c>
      <c r="X17" s="1" t="s">
        <v>471</v>
      </c>
      <c r="AF17" s="4" t="s">
        <v>600</v>
      </c>
    </row>
    <row r="18" spans="3:32" x14ac:dyDescent="0.25">
      <c r="C18" s="4" t="s">
        <v>538</v>
      </c>
      <c r="J18" s="1" t="s">
        <v>473</v>
      </c>
      <c r="T18" s="1" t="s">
        <v>474</v>
      </c>
      <c r="X18" s="1" t="s">
        <v>475</v>
      </c>
      <c r="AF18" s="4" t="s">
        <v>539</v>
      </c>
    </row>
    <row r="19" spans="3:32" x14ac:dyDescent="0.25">
      <c r="J19" s="1" t="s">
        <v>477</v>
      </c>
      <c r="T19" s="1" t="s">
        <v>478</v>
      </c>
      <c r="X19" s="1" t="s">
        <v>368</v>
      </c>
      <c r="AF19" s="4" t="s">
        <v>563</v>
      </c>
    </row>
    <row r="20" spans="3:32" x14ac:dyDescent="0.25">
      <c r="J20" s="1" t="s">
        <v>479</v>
      </c>
      <c r="T20" s="1" t="s">
        <v>480</v>
      </c>
      <c r="AF20" s="4" t="s">
        <v>541</v>
      </c>
    </row>
    <row r="21" spans="3:32" x14ac:dyDescent="0.25">
      <c r="J21" s="1" t="s">
        <v>481</v>
      </c>
      <c r="T21" s="1" t="s">
        <v>482</v>
      </c>
      <c r="AF21" s="4" t="s">
        <v>542</v>
      </c>
    </row>
    <row r="22" spans="3:32" x14ac:dyDescent="0.25">
      <c r="J22" s="1" t="s">
        <v>483</v>
      </c>
      <c r="T22" s="1" t="s">
        <v>484</v>
      </c>
      <c r="AF22" s="4" t="s">
        <v>609</v>
      </c>
    </row>
    <row r="23" spans="3:32" x14ac:dyDescent="0.25">
      <c r="J23" s="1" t="s">
        <v>485</v>
      </c>
      <c r="T23" s="1" t="s">
        <v>486</v>
      </c>
      <c r="AF23" s="4" t="s">
        <v>2</v>
      </c>
    </row>
    <row r="24" spans="3:32" x14ac:dyDescent="0.25">
      <c r="J24" s="1" t="s">
        <v>487</v>
      </c>
      <c r="T24" s="1" t="s">
        <v>488</v>
      </c>
      <c r="AF24" s="4" t="s">
        <v>543</v>
      </c>
    </row>
    <row r="25" spans="3:32" x14ac:dyDescent="0.25">
      <c r="J25" s="1" t="s">
        <v>489</v>
      </c>
      <c r="T25" s="1" t="s">
        <v>490</v>
      </c>
      <c r="AF25" s="4" t="s">
        <v>544</v>
      </c>
    </row>
    <row r="26" spans="3:32" x14ac:dyDescent="0.25">
      <c r="J26" s="1" t="s">
        <v>491</v>
      </c>
      <c r="T26" s="1" t="s">
        <v>492</v>
      </c>
      <c r="AF26" s="4" t="s">
        <v>588</v>
      </c>
    </row>
    <row r="27" spans="3:32" x14ac:dyDescent="0.25">
      <c r="J27" s="1" t="s">
        <v>493</v>
      </c>
      <c r="T27" s="1" t="s">
        <v>494</v>
      </c>
      <c r="AF27" s="4" t="s">
        <v>684</v>
      </c>
    </row>
    <row r="28" spans="3:32" x14ac:dyDescent="0.25">
      <c r="J28" s="1" t="s">
        <v>495</v>
      </c>
      <c r="T28" s="1" t="s">
        <v>496</v>
      </c>
      <c r="AF28" s="4" t="s">
        <v>589</v>
      </c>
    </row>
    <row r="29" spans="3:32" x14ac:dyDescent="0.25">
      <c r="J29" s="1" t="s">
        <v>497</v>
      </c>
      <c r="T29" s="1" t="s">
        <v>498</v>
      </c>
      <c r="AF29" s="4" t="s">
        <v>665</v>
      </c>
    </row>
    <row r="30" spans="3:32" x14ac:dyDescent="0.25">
      <c r="J30" s="1" t="s">
        <v>499</v>
      </c>
      <c r="T30" s="1" t="s">
        <v>500</v>
      </c>
    </row>
    <row r="31" spans="3:32" x14ac:dyDescent="0.25">
      <c r="J31" s="1" t="s">
        <v>501</v>
      </c>
      <c r="T31" s="1" t="s">
        <v>502</v>
      </c>
    </row>
    <row r="32" spans="3:32" x14ac:dyDescent="0.25">
      <c r="J32" s="1" t="s">
        <v>503</v>
      </c>
      <c r="T32" s="1" t="s">
        <v>504</v>
      </c>
    </row>
    <row r="33" spans="10:20" x14ac:dyDescent="0.25">
      <c r="J33" s="1" t="s">
        <v>505</v>
      </c>
      <c r="T33" s="1" t="s">
        <v>506</v>
      </c>
    </row>
    <row r="34" spans="10:20" x14ac:dyDescent="0.25">
      <c r="J34" s="1" t="s">
        <v>507</v>
      </c>
      <c r="T34" s="1" t="s">
        <v>508</v>
      </c>
    </row>
    <row r="35" spans="10:20" x14ac:dyDescent="0.25">
      <c r="J35" s="1" t="s">
        <v>509</v>
      </c>
      <c r="T35" s="1" t="s">
        <v>510</v>
      </c>
    </row>
    <row r="36" spans="10:20" x14ac:dyDescent="0.25">
      <c r="J36" s="1" t="s">
        <v>511</v>
      </c>
      <c r="T36" s="1" t="s">
        <v>512</v>
      </c>
    </row>
    <row r="37" spans="10:20" x14ac:dyDescent="0.25">
      <c r="J37" s="1" t="s">
        <v>513</v>
      </c>
      <c r="T37" s="1" t="s">
        <v>514</v>
      </c>
    </row>
    <row r="38" spans="10:20" x14ac:dyDescent="0.25">
      <c r="J38" s="1" t="s">
        <v>515</v>
      </c>
      <c r="T38" s="1" t="s">
        <v>516</v>
      </c>
    </row>
    <row r="39" spans="10:20" x14ac:dyDescent="0.25">
      <c r="J39" s="1" t="s">
        <v>517</v>
      </c>
      <c r="T39" s="1" t="s">
        <v>518</v>
      </c>
    </row>
    <row r="40" spans="10:20" x14ac:dyDescent="0.25">
      <c r="J40" s="1" t="s">
        <v>519</v>
      </c>
      <c r="T40" s="1" t="s">
        <v>520</v>
      </c>
    </row>
    <row r="41" spans="10:20" x14ac:dyDescent="0.25">
      <c r="J41" s="1" t="s">
        <v>521</v>
      </c>
      <c r="T41" s="1" t="s">
        <v>522</v>
      </c>
    </row>
    <row r="42" spans="10:20" x14ac:dyDescent="0.25">
      <c r="J42" s="1" t="s">
        <v>368</v>
      </c>
      <c r="T42" s="1" t="s">
        <v>523</v>
      </c>
    </row>
    <row r="43" spans="10:20" x14ac:dyDescent="0.25">
      <c r="T43" s="1" t="s">
        <v>524</v>
      </c>
    </row>
    <row r="44" spans="10:20" x14ac:dyDescent="0.25">
      <c r="T44" s="1" t="s">
        <v>525</v>
      </c>
    </row>
    <row r="45" spans="10:20" x14ac:dyDescent="0.25">
      <c r="T45" s="1" t="s">
        <v>368</v>
      </c>
    </row>
  </sheetData>
  <sheetProtection algorithmName="SHA-512" hashValue="KVuZ+33gIUenDRJuVOyPenb4dT7beRdZmMbDgKOdvUEU71vTQLsfW0HrKPfo6XqtR1xNY0k/PEmb/uaa+gxT1g==" saltValue="Y0cQ7rcGFuWBn2clC0wXqQ==" spinCount="100000" sheet="1" insertHyperlinks="0" sort="0" autoFilter="0" pivotTables="0"/>
  <pageMargins left="0.7" right="0.7" top="0.78740157499999996" bottom="0.78740157499999996" header="0.3" footer="0.3"/>
  <pageSetup paperSize="9" orientation="portrait" r:id="rId1"/>
  <headerFooter>
    <oddHeader>&amp;R&amp;"Calibri"&amp;10&amp;K000000Internal Use&amp;1#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70EAEE62EFFB43B0FB99848E2D79D1" ma:contentTypeVersion="18" ma:contentTypeDescription="Create a new document." ma:contentTypeScope="" ma:versionID="b616af5cfbdf3507747b60c4bc5860b5">
  <xsd:schema xmlns:xsd="http://www.w3.org/2001/XMLSchema" xmlns:xs="http://www.w3.org/2001/XMLSchema" xmlns:p="http://schemas.microsoft.com/office/2006/metadata/properties" xmlns:ns2="4c88ae56-2fce-457e-a6ec-b1e5e09e2e50" xmlns:ns3="5f20b51a-7dda-4d1d-8e76-1270bfcccbcb" targetNamespace="http://schemas.microsoft.com/office/2006/metadata/properties" ma:root="true" ma:fieldsID="345a58298d109fe1853e5dab35cd925a" ns2:_="" ns3:_="">
    <xsd:import namespace="4c88ae56-2fce-457e-a6ec-b1e5e09e2e50"/>
    <xsd:import namespace="5f20b51a-7dda-4d1d-8e76-1270bfcccb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88ae56-2fce-457e-a6ec-b1e5e09e2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36ec069-1e13-4f41-8711-e78c8fa09d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20b51a-7dda-4d1d-8e76-1270bfcccbc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e8c862-d778-43ef-84f4-028793df73b6}" ma:internalName="TaxCatchAll" ma:showField="CatchAllData" ma:web="5f20b51a-7dda-4d1d-8e76-1270bfcccb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f20b51a-7dda-4d1d-8e76-1270bfcccbcb" xsi:nil="true"/>
    <lcf76f155ced4ddcb4097134ff3c332f xmlns="4c88ae56-2fce-457e-a6ec-b1e5e09e2e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46738F7-AC8B-4285-9EB2-81B99A39E5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88ae56-2fce-457e-a6ec-b1e5e09e2e50"/>
    <ds:schemaRef ds:uri="5f20b51a-7dda-4d1d-8e76-1270bfcccb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AE94D6-6BCC-42F6-9E02-448560CC064B}">
  <ds:schemaRefs>
    <ds:schemaRef ds:uri="http://schemas.microsoft.com/sharepoint/v3/contenttype/forms"/>
  </ds:schemaRefs>
</ds:datastoreItem>
</file>

<file path=customXml/itemProps3.xml><?xml version="1.0" encoding="utf-8"?>
<ds:datastoreItem xmlns:ds="http://schemas.openxmlformats.org/officeDocument/2006/customXml" ds:itemID="{3878C948-D487-46E2-9518-A3AAFBE9937C}">
  <ds:schemaRefs>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 ds:uri="http://purl.org/dc/terms/"/>
    <ds:schemaRef ds:uri="5f20b51a-7dda-4d1d-8e76-1270bfcccbcb"/>
    <ds:schemaRef ds:uri="4c88ae56-2fce-457e-a6ec-b1e5e09e2e50"/>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BDT Reference Sheet</vt:lpstr>
      <vt:lpstr>Enumerations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Tom.Healey@icmagroup.org;Gabriel.Callsen@icmagroup.org</dc:creator>
  <cp:lastModifiedBy>Tom Healey</cp:lastModifiedBy>
  <dcterms:created xsi:type="dcterms:W3CDTF">2023-05-31T11:47:03Z</dcterms:created>
  <dcterms:modified xsi:type="dcterms:W3CDTF">2024-02-02T15:38:32Z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0x0101009070EAEE62EFFB43B0FB99848E2D79D1</vt:lpwstr>
  </property>
  <property fmtid="{D5CDD505-2E9C-101B-9397-08002B2CF9AE}" pid="3" name="MediaServiceImageTags">
    <vt:lpwstr/>
  </property>
</Properties>
</file>